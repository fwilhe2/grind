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Id2"/>
    <x:sheet xmlns:r="http://schemas.openxmlformats.org/officeDocument/2006/relationships" name="Samples" sheetId="2" r:id="rId3"/>
  </x:sheets>
  <x:calcPr calcId="191029" fullCalcOnLoad="0"/>
</x:workbook>
</file>

<file path=xl/sharedStrings.xml><?xml version="1.0" encoding="utf-8"?>
<x:sst xmlns:x="http://schemas.openxmlformats.org/spreadsheetml/2006/main" count="97" uniqueCount="97">
  <x:si>
    <x:t>SKU</x:t>
  </x:si>
  <x:si>
    <x:t>Item</x:t>
  </x:si>
  <x:si>
    <x:t>On hand</x:t>
  </x:si>
  <x:si>
    <x:t>Reorder at</x:t>
  </x:si>
  <x:si>
    <x:t>Supplier</x:t>
  </x:si>
  <x:si>
    <x:t>Counted</x:t>
  </x:si>
  <x:si>
    <x:t>Discontinued</x:t>
  </x:si>
  <x:si>
    <x:t>Weekly use</x:t>
  </x:si>
  <x:si>
    <x:t>Weeks of cover</x:t>
  </x:si>
  <x:si>
    <x:t>A-100</x:t>
  </x:si>
  <x:si>
    <x:t>Hex bolts M8</x:t>
  </x:si>
  <x:si>
    <x:t>Boltworks</x:t>
  </x:si>
  <x:si>
    <x:t>A-101</x:t>
  </x:si>
  <x:si>
    <x:t>Hex nuts M8</x:t>
  </x:si>
  <x:si>
    <x:t>A-102</x:t>
  </x:si>
  <x:si>
    <x:t>Washers M8</x:t>
  </x:si>
  <x:si>
    <x:t>B-200</x:t>
  </x:si>
  <x:si>
    <x:t>Wood screws 4×40</x:t>
  </x:si>
  <x:si>
    <x:t>Timber &amp; Co</x:t>
  </x:si>
  <x:si>
    <x:t>B-201</x:t>
  </x:si>
  <x:si>
    <x:t>Wall plugs 6 mm</x:t>
  </x:si>
  <x:si>
    <x:t>see bin 4</x:t>
  </x:si>
  <x:si>
    <x:t>C-300</x:t>
  </x:si>
  <x:si>
    <x:t>Cable ties 200 mm</x:t>
  </x:si>
  <x:si>
    <x:t>Wirewell</x:t>
  </x:si>
  <x:si>
    <x:t>C-301</x:t>
  </x:si>
  <x:si>
    <x:t>Heat-shrink 6 mm</x:t>
  </x:si>
  <x:si>
    <x:t>Function</x:t>
  </x:si>
  <x:si>
    <x:t>Formula</x:t>
  </x:si>
  <x:si>
    <x:t>Result</x:t>
  </x:si>
  <x:si>
    <x:t>What it shows</x:t>
  </x:si>
  <x:si>
    <x:t>COUNT</x:t>
  </x:si>
  <x:si>
    <x:t>=COUNT(Stock!C2:C8)</x:t>
  </x:si>
  <x:si>
    <x:t>Items with a count: the note and the blank are not numbers</x:t>
  </x:si>
  <x:si>
    <x:t>COUNTA</x:t>
  </x:si>
  <x:si>
    <x:t>=COUNTA(Stock!C2:C8)</x:t>
  </x:si>
  <x:si>
    <x:t>Items with anything written down</x:t>
  </x:si>
  <x:si>
    <x:t>COUNTBLANK</x:t>
  </x:si>
  <x:si>
    <x:t>=COUNTBLANK(Stock!C2:C8)</x:t>
  </x:si>
  <x:si>
    <x:t>Items not counted yet</x:t>
  </x:si>
  <x:si>
    <x:t>COUNTIF</x:t>
  </x:si>
  <x:si>
    <x:t>=COUNTIF(Stock!E2:E8,"Boltworks")</x:t>
  </x:si>
  <x:si>
    <x:t>Items bought from Boltworks</x:t>
  </x:si>
  <x:si>
    <x:t>=COUNTIF(Stock!A2:A8,"A-*")</x:t>
  </x:si>
  <x:si>
    <x:t>SKUs in range A, by wildcard</x:t>
  </x:si>
  <x:si>
    <x:t>COUNTIFS</x:t>
  </x:si>
  <x:si>
    <x:t>=COUNTIFS(Stock!E2:E8,"Wirewell",Stock!G2:G8,FALSE)</x:t>
  </x:si>
  <x:si>
    <x:t>Wirewell items still sold</x:t>
  </x:si>
  <x:si>
    <x:t>ISBLANK</x:t>
  </x:si>
  <x:si>
    <x:t>=ISBLANK(Stock!C4)</x:t>
  </x:si>
  <x:si>
    <x:t>The washers have not been counted</x:t>
  </x:si>
  <x:si>
    <x:t>ISNUMBER</x:t>
  </x:si>
  <x:si>
    <x:t>=ISNUMBER(Stock!C6)</x:t>
  </x:si>
  <x:si>
    <x:t>The wall plugs' count is a note, not a number</x:t>
  </x:si>
  <x:si>
    <x:t>ISTEXT</x:t>
  </x:si>
  <x:si>
    <x:t>=ISTEXT(Stock!C6)</x:t>
  </x:si>
  <x:si>
    <x:t>…which ISTEXT confirms</x:t>
  </x:si>
  <x:si>
    <x:t>ISNONTEXT</x:t>
  </x:si>
  <x:si>
    <x:t>=ISNONTEXT(Stock!C4)</x:t>
  </x:si>
  <x:si>
    <x:t>A blank is not text</x:t>
  </x:si>
  <x:si>
    <x:t>ISLOGICAL</x:t>
  </x:si>
  <x:si>
    <x:t>=ISLOGICAL(Stock!G2)</x:t>
  </x:si>
  <x:si>
    <x:t>The discontinued flag is a logical value</x:t>
  </x:si>
  <x:si>
    <x:t>ISERROR</x:t>
  </x:si>
  <x:si>
    <x:t>=ISERROR(Stock!I7)</x:t>
  </x:si>
  <x:si>
    <x:t>Cover for the cable ties cannot be worked out</x:t>
  </x:si>
  <x:si>
    <x:t>ISERR</x:t>
  </x:si>
  <x:si>
    <x:t>=ISERR(Stock!I6)</x:t>
  </x:si>
  <x:si>
    <x:t>Dividing a note is an error ISERR counts</x:t>
  </x:si>
  <x:si>
    <x:t>=ISERR(VLOOKUP("Z-999",Stock!A2:C8,3,FALSE))</x:t>
  </x:si>
  <x:si>
    <x:t>A missing SKU is #N/A, which ISERR does not count</x:t>
  </x:si>
  <x:si>
    <x:t>ISNA</x:t>
  </x:si>
  <x:si>
    <x:t>=ISNA(MATCH("D-400",Stock!A2:A8,0))</x:t>
  </x:si>
  <x:si>
    <x:t>D-400 is not stocked</x:t>
  </x:si>
  <x:si>
    <x:t>NA</x:t>
  </x:si>
  <x:si>
    <x:t>=IF(ISBLANK(Stock!C4),NA(),Stock!C4)</x:t>
  </x:si>
  <x:si>
    <x:t>#N/A for an uncounted item, so a chart leaves a gap</x:t>
  </x:si>
  <x:si>
    <x:t>N</x:t>
  </x:si>
  <x:si>
    <x:t>=N(Stock!C6)</x:t>
  </x:si>
  <x:si>
    <x:t>N turns the note into 0</x:t>
  </x:si>
  <x:si>
    <x:t>=N(Stock!G7)</x:t>
  </x:si>
  <x:si>
    <x:t>…and TRUE into 1</x:t>
  </x:si>
  <x:si>
    <x:t>VALUE</x:t>
  </x:si>
  <x:si>
    <x:t>=VALUE(MID(Stock!A5,3,3))</x:t>
  </x:si>
  <x:si>
    <x:t>The number inside SKU B-200</x:t>
  </x:si>
  <x:si>
    <x:t>ROW</x:t>
  </x:si>
  <x:si>
    <x:t>=ROW(Stock!A5)</x:t>
  </x:si>
  <x:si>
    <x:t>The row SKU B-200 is in</x:t>
  </x:si>
  <x:si>
    <x:t>ROWS</x:t>
  </x:si>
  <x:si>
    <x:t>=ROWS(Stock!A2:A8)</x:t>
  </x:si>
  <x:si>
    <x:t>SKUs on the list</x:t>
  </x:si>
  <x:si>
    <x:t>COLUMN</x:t>
  </x:si>
  <x:si>
    <x:t>=COLUMN(Stock!E1)</x:t>
  </x:si>
  <x:si>
    <x:t>Supplier is the fifth column</x:t>
  </x:si>
  <x:si>
    <x:t>COLUMNS</x:t>
  </x:si>
  <x:si>
    <x:t>=COLUMNS(Stock!A1:I1)</x:t>
  </x:si>
  <x:si>
    <x:t>Fields kept per item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</x:si>
</x:sst>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 t="s">
        <x:v>10</x:v>
      </x:c>
      <x:c r="C2">
        <x:v>340</x:v>
      </x:c>
      <x:c r="D2">
        <x:v>200</x:v>
      </x:c>
      <x:c r="E2" t="s">
        <x:v>11</x:v>
      </x:c>
      <x:c r="F2" s="1">
        <x:v>46293</x:v>
      </x:c>
      <x:c r="G2" t="b">
        <x:v>0</x:v>
      </x:c>
      <x:c r="H2">
        <x:v>60</x:v>
      </x:c>
      <x:c r="I2">
        <x:f>C2/H2</x:f>
        <x:v>5.66666666666667</x:v>
      </x:c>
    </x:row>
    <x:row r="3">
      <x:c r="A3" t="s">
        <x:v>12</x:v>
      </x:c>
      <x:c r="B3" t="s">
        <x:v>13</x:v>
      </x:c>
      <x:c r="C3">
        <x:v>95</x:v>
      </x:c>
      <x:c r="D3">
        <x:v>200</x:v>
      </x:c>
      <x:c r="E3" t="s">
        <x:v>11</x:v>
      </x:c>
      <x:c r="F3" s="1">
        <x:v>46293</x:v>
      </x:c>
      <x:c r="G3" t="b">
        <x:v>0</x:v>
      </x:c>
      <x:c r="H3">
        <x:v>80</x:v>
      </x:c>
      <x:c r="I3">
        <x:f>C3/H3</x:f>
        <x:v>1.1875</x:v>
      </x:c>
    </x:row>
    <x:row r="4">
      <x:c r="A4" t="s">
        <x:v>14</x:v>
      </x:c>
      <x:c r="B4" t="s">
        <x:v>15</x:v>
      </x:c>
      <x:c r="D4">
        <x:v>500</x:v>
      </x:c>
      <x:c r="E4" t="s">
        <x:v>11</x:v>
      </x:c>
      <x:c r="G4" t="b">
        <x:v>0</x:v>
      </x:c>
      <x:c r="H4">
        <x:v>120</x:v>
      </x:c>
      <x:c r="I4">
        <x:f>C4/H4</x:f>
        <x:v>0</x:v>
      </x:c>
    </x:row>
    <x:row r="5">
      <x:c r="A5" t="s">
        <x:v>16</x:v>
      </x:c>
      <x:c r="B5" t="s">
        <x:v>17</x:v>
      </x:c>
      <x:c r="C5">
        <x:v>1200</x:v>
      </x:c>
      <x:c r="D5">
        <x:v>400</x:v>
      </x:c>
      <x:c r="E5" t="s">
        <x:v>18</x:v>
      </x:c>
      <x:c r="F5" s="1">
        <x:v>46294</x:v>
      </x:c>
      <x:c r="G5" t="b">
        <x:v>0</x:v>
      </x:c>
      <x:c r="H5">
        <x:v>300</x:v>
      </x:c>
      <x:c r="I5">
        <x:f>C5/H5</x:f>
        <x:v>4</x:v>
      </x:c>
    </x:row>
    <x:row r="6">
      <x:c r="A6" t="s">
        <x:v>19</x:v>
      </x:c>
      <x:c r="B6" t="s">
        <x:v>20</x:v>
      </x:c>
      <x:c r="C6" t="s">
        <x:v>21</x:v>
      </x:c>
      <x:c r="D6">
        <x:v>300</x:v>
      </x:c>
      <x:c r="E6" t="s">
        <x:v>18</x:v>
      </x:c>
      <x:c r="F6" s="1">
        <x:v>46294</x:v>
      </x:c>
      <x:c r="G6" t="b">
        <x:v>0</x:v>
      </x:c>
      <x:c r="H6">
        <x:v>25</x:v>
      </x:c>
      <x:c r="I6" t="e">
        <x:f>C6/H6</x:f>
        <x:v>#VALUE!</x:v>
      </x:c>
    </x:row>
    <x:row r="7">
      <x:c r="A7" t="s">
        <x:v>22</x:v>
      </x:c>
      <x:c r="B7" t="s">
        <x:v>23</x:v>
      </x:c>
      <x:c r="C7">
        <x:v>0</x:v>
      </x:c>
      <x:c r="D7">
        <x:v>250</x:v>
      </x:c>
      <x:c r="E7" t="s">
        <x:v>24</x:v>
      </x:c>
      <x:c r="F7" s="1">
        <x:v>46295</x:v>
      </x:c>
      <x:c r="G7" t="b">
        <x:v>1</x:v>
      </x:c>
      <x:c r="H7">
        <x:v>0</x:v>
      </x:c>
      <x:c r="I7" t="e">
        <x:f>C7/H7</x:f>
        <x:v>#DIV/0!</x:v>
      </x:c>
    </x:row>
    <x:row r="8">
      <x:c r="A8" t="s">
        <x:v>25</x:v>
      </x:c>
      <x:c r="B8" t="s">
        <x:v>26</x:v>
      </x:c>
      <x:c r="C8">
        <x:v>48</x:v>
      </x:c>
      <x:c r="D8">
        <x:v>50</x:v>
      </x:c>
      <x:c r="E8" t="s">
        <x:v>24</x:v>
      </x:c>
      <x:c r="F8" s="1">
        <x:v>46295</x:v>
      </x:c>
      <x:c r="G8" t="b">
        <x:v>0</x:v>
      </x:c>
      <x:c r="H8">
        <x:v>10</x:v>
      </x:c>
      <x:c r="I8">
        <x:f>C8/H8</x:f>
        <x:v>4.8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27</x:v>
      </x:c>
      <x:c r="B1" t="s">
        <x:v>28</x:v>
      </x:c>
      <x:c r="C1" t="s">
        <x:v>29</x:v>
      </x:c>
      <x:c r="D1" t="s">
        <x:v>30</x:v>
      </x:c>
    </x:row>
    <x:row r="2">
      <x:c r="A2" t="s">
        <x:v>31</x:v>
      </x:c>
      <x:c r="B2" t="s">
        <x:v>32</x:v>
      </x:c>
      <x:c r="C2">
        <x:f>COUNT(Stock!C2:C8)</x:f>
        <x:v>5</x:v>
      </x:c>
      <x:c r="D2" t="s">
        <x:v>33</x:v>
      </x:c>
    </x:row>
    <x:row r="3">
      <x:c r="A3" t="s">
        <x:v>34</x:v>
      </x:c>
      <x:c r="B3" t="s">
        <x:v>35</x:v>
      </x:c>
      <x:c r="C3">
        <x:f>COUNTA(Stock!C2:C8)</x:f>
        <x:v>6</x:v>
      </x:c>
      <x:c r="D3" t="s">
        <x:v>36</x:v>
      </x:c>
    </x:row>
    <x:row r="4">
      <x:c r="A4" t="s">
        <x:v>37</x:v>
      </x:c>
      <x:c r="B4" t="s">
        <x:v>38</x:v>
      </x:c>
      <x:c r="C4">
        <x:f>COUNTBLANK(Stock!C2:C8)</x:f>
        <x:v>1</x:v>
      </x:c>
      <x:c r="D4" t="s">
        <x:v>39</x:v>
      </x:c>
    </x:row>
    <x:row r="5">
      <x:c r="A5" t="s">
        <x:v>40</x:v>
      </x:c>
      <x:c r="B5" t="s">
        <x:v>41</x:v>
      </x:c>
      <x:c r="C5">
        <x:f>COUNTIF(Stock!E2:E8,"Boltworks")</x:f>
        <x:v>3</x:v>
      </x:c>
      <x:c r="D5" t="s">
        <x:v>42</x:v>
      </x:c>
    </x:row>
    <x:row r="6">
      <x:c r="A6" t="s">
        <x:v>40</x:v>
      </x:c>
      <x:c r="B6" t="s">
        <x:v>43</x:v>
      </x:c>
      <x:c r="C6">
        <x:f>COUNTIF(Stock!A2:A8,"A-*")</x:f>
        <x:v>3</x:v>
      </x:c>
      <x:c r="D6" t="s">
        <x:v>44</x:v>
      </x:c>
    </x:row>
    <x:row r="7">
      <x:c r="A7" t="s">
        <x:v>45</x:v>
      </x:c>
      <x:c r="B7" t="s">
        <x:v>46</x:v>
      </x:c>
      <x:c r="C7">
        <x:f>COUNTIFS(Stock!E2:E8,"Wirewell",Stock!G2:G8,FALSE)</x:f>
        <x:v>1</x:v>
      </x:c>
      <x:c r="D7" t="s">
        <x:v>47</x:v>
      </x:c>
    </x:row>
    <x:row r="8">
      <x:c r="A8" t="s">
        <x:v>48</x:v>
      </x:c>
      <x:c r="B8" t="s">
        <x:v>49</x:v>
      </x:c>
      <x:c r="C8" t="b">
        <x:f>ISBLANK(Stock!C4)</x:f>
        <x:v>1</x:v>
      </x:c>
      <x:c r="D8" t="s">
        <x:v>50</x:v>
      </x:c>
    </x:row>
    <x:row r="9">
      <x:c r="A9" t="s">
        <x:v>51</x:v>
      </x:c>
      <x:c r="B9" t="s">
        <x:v>52</x:v>
      </x:c>
      <x:c r="C9" t="b">
        <x:f>ISNUMBER(Stock!C6)</x:f>
        <x:v>0</x:v>
      </x:c>
      <x:c r="D9" t="s">
        <x:v>53</x:v>
      </x:c>
    </x:row>
    <x:row r="10">
      <x:c r="A10" t="s">
        <x:v>54</x:v>
      </x:c>
      <x:c r="B10" t="s">
        <x:v>55</x:v>
      </x:c>
      <x:c r="C10" t="b">
        <x:f>ISTEXT(Stock!C6)</x:f>
        <x:v>1</x:v>
      </x:c>
      <x:c r="D10" t="s">
        <x:v>56</x:v>
      </x:c>
    </x:row>
    <x:row r="11">
      <x:c r="A11" t="s">
        <x:v>57</x:v>
      </x:c>
      <x:c r="B11" t="s">
        <x:v>58</x:v>
      </x:c>
      <x:c r="C11" t="b">
        <x:f>ISNONTEXT(Stock!C4)</x:f>
        <x:v>1</x:v>
      </x:c>
      <x:c r="D11" t="s">
        <x:v>59</x:v>
      </x:c>
    </x:row>
    <x:row r="12">
      <x:c r="A12" t="s">
        <x:v>60</x:v>
      </x:c>
      <x:c r="B12" t="s">
        <x:v>61</x:v>
      </x:c>
      <x:c r="C12" t="b">
        <x:f>ISLOGICAL(Stock!G2)</x:f>
        <x:v>1</x:v>
      </x:c>
      <x:c r="D12" t="s">
        <x:v>62</x:v>
      </x:c>
    </x:row>
    <x:row r="13">
      <x:c r="A13" t="s">
        <x:v>63</x:v>
      </x:c>
      <x:c r="B13" t="s">
        <x:v>64</x:v>
      </x:c>
      <x:c r="C13" t="b">
        <x:f>ISERROR(Stock!I7)</x:f>
        <x:v>1</x:v>
      </x:c>
      <x:c r="D13" t="s">
        <x:v>65</x:v>
      </x:c>
    </x:row>
    <x:row r="14">
      <x:c r="A14" t="s">
        <x:v>66</x:v>
      </x:c>
      <x:c r="B14" t="s">
        <x:v>67</x:v>
      </x:c>
      <x:c r="C14" t="b">
        <x:f>ISERR(Stock!I6)</x:f>
        <x:v>1</x:v>
      </x:c>
      <x:c r="D14" t="s">
        <x:v>68</x:v>
      </x:c>
    </x:row>
    <x:row r="15">
      <x:c r="A15" t="s">
        <x:v>66</x:v>
      </x:c>
      <x:c r="B15" t="s">
        <x:v>69</x:v>
      </x:c>
      <x:c r="C15" t="b">
        <x:f>ISERR(VLOOKUP("Z-999",Stock!A2:C8,3,FALSE))</x:f>
        <x:v>0</x:v>
      </x:c>
      <x:c r="D15" t="s">
        <x:v>70</x:v>
      </x:c>
    </x:row>
    <x:row r="16">
      <x:c r="A16" t="s">
        <x:v>71</x:v>
      </x:c>
      <x:c r="B16" t="s">
        <x:v>72</x:v>
      </x:c>
      <x:c r="C16" t="b">
        <x:f>ISNA(MATCH("D-400",Stock!A2:A8,0))</x:f>
        <x:v>1</x:v>
      </x:c>
      <x:c r="D16" t="s">
        <x:v>73</x:v>
      </x:c>
    </x:row>
    <x:row r="17">
      <x:c r="A17" t="s">
        <x:v>74</x:v>
      </x:c>
      <x:c r="B17" t="s">
        <x:v>75</x:v>
      </x:c>
      <x:c r="C17" t="e">
        <x:f>IF(ISBLANK(Stock!C4),NA(),Stock!C4)</x:f>
        <x:v>#N/A</x:v>
      </x:c>
      <x:c r="D17" t="s">
        <x:v>76</x:v>
      </x:c>
    </x:row>
    <x:row r="18">
      <x:c r="A18" t="s">
        <x:v>77</x:v>
      </x:c>
      <x:c r="B18" t="s">
        <x:v>78</x:v>
      </x:c>
      <x:c r="C18">
        <x:f>N(Stock!C6)</x:f>
        <x:v>0</x:v>
      </x:c>
      <x:c r="D18" t="s">
        <x:v>79</x:v>
      </x:c>
    </x:row>
    <x:row r="19">
      <x:c r="A19" t="s">
        <x:v>77</x:v>
      </x:c>
      <x:c r="B19" t="s">
        <x:v>80</x:v>
      </x:c>
      <x:c r="C19">
        <x:f>N(Stock!G7)</x:f>
        <x:v>1</x:v>
      </x:c>
      <x:c r="D19" t="s">
        <x:v>81</x:v>
      </x:c>
    </x:row>
    <x:row r="20">
      <x:c r="A20" t="s">
        <x:v>82</x:v>
      </x:c>
      <x:c r="B20" t="s">
        <x:v>83</x:v>
      </x:c>
      <x:c r="C20">
        <x:f>VALUE(MID(Stock!A5,3,3))</x:f>
        <x:v>200</x:v>
      </x:c>
      <x:c r="D20" t="s">
        <x:v>84</x:v>
      </x:c>
    </x:row>
    <x:row r="21">
      <x:c r="A21" t="s">
        <x:v>85</x:v>
      </x:c>
      <x:c r="B21" t="s">
        <x:v>86</x:v>
      </x:c>
      <x:c r="C21">
        <x:f>ROW(Stock!A5)</x:f>
        <x:v>5</x:v>
      </x:c>
      <x:c r="D21" t="s">
        <x:v>87</x:v>
      </x:c>
    </x:row>
    <x:row r="22">
      <x:c r="A22" t="s">
        <x:v>88</x:v>
      </x:c>
      <x:c r="B22" t="s">
        <x:v>89</x:v>
      </x:c>
      <x:c r="C22">
        <x:f>ROWS(Stock!A2:A8)</x:f>
        <x:v>7</x:v>
      </x:c>
      <x:c r="D22" t="s">
        <x:v>90</x:v>
      </x:c>
    </x:row>
    <x:row r="23">
      <x:c r="A23" t="s">
        <x:v>91</x:v>
      </x:c>
      <x:c r="B23" t="s">
        <x:v>92</x:v>
      </x:c>
      <x:c r="C23">
        <x:f>COLUMN(Stock!E1)</x:f>
        <x:v>5</x:v>
      </x:c>
      <x:c r="D23" t="s">
        <x:v>93</x:v>
      </x:c>
    </x:row>
    <x:row r="24">
      <x:c r="A24" t="s">
        <x:v>94</x:v>
      </x:c>
      <x:c r="B24" t="s">
        <x:v>95</x:v>
      </x:c>
      <x:c r="C24">
        <x:f>COLUMNS(Stock!A1:I1)</x:f>
        <x:v>9</x:v>
      </x:c>
      <x:c r="D24" t="s">
        <x:v>96</x:v>
      </x:c>
    </x:row>
  </x:sheetData>
</x:worksheet>
</file>