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" sheetId="1" r:id="rId2"/>
    <x:sheet xmlns:r="http://schemas.openxmlformats.org/officeDocument/2006/relationships" name="Times" sheetId="2" r:id="rId3"/>
    <x:sheet xmlns:r="http://schemas.openxmlformats.org/officeDocument/2006/relationships" name="Samples" sheetId="3" r:id="rId4"/>
  </x:sheets>
  <x:calcPr calcId="191029" fullCalcOnLoad="0"/>
</x:workbook>
</file>

<file path=xl/sharedStrings.xml><?xml version="1.0" encoding="utf-8"?>
<x:sst xmlns:x="http://schemas.openxmlformats.org/spreadsheetml/2006/main" count="61" uniqueCount="61">
  <x:si>
    <x:t>Item</x:t>
  </x:si>
  <x:si>
    <x:t>Quantity</x:t>
  </x:si>
  <x:si>
    <x:t>Unit price</x:t>
  </x:si>
  <x:si>
    <x:t>Net</x:t>
  </x:si>
  <x:si>
    <x:t>Consulting hours</x:t>
  </x:si>
  <x:si>
    <x:t>Travel, per km</x:t>
  </x:si>
  <x:si>
    <x:t>Printed handouts</x:t>
  </x:si>
  <x:si>
    <x:t>Room hire, half day</x:t>
  </x:si>
  <x:si>
    <x:t>Catering, per person</x:t>
  </x:si>
  <x:si>
    <x:t>VAT rate</x:t>
  </x:si>
  <x:si>
    <x:t>Credit note</x:t>
  </x:si>
  <x:si>
    <x:t>Task</x:t>
  </x:si>
  <x:si>
    <x:t>Minutes</x:t>
  </x:si>
  <x:si>
    <x:t>Call with the client</x:t>
  </x:si>
  <x:si>
    <x:t>Drafting the report</x:t>
  </x:si>
  <x:si>
    <x:t>Review</x:t>
  </x:si>
  <x:si>
    <x:t>Site visit</x:t>
  </x:si>
  <x:si>
    <x:t>Boxes per pallet</x:t>
  </x:si>
  <x:si>
    <x:t>Boxes to ship</x:t>
  </x:si>
  <x:si>
    <x:t>Function</x:t>
  </x:si>
  <x:si>
    <x:t>Formula</x:t>
  </x:si>
  <x:si>
    <x:t>Result</x:t>
  </x:si>
  <x:si>
    <x:t>What it shows</x:t>
  </x:si>
  <x:si>
    <x:t>ROUND</x:t>
  </x:si>
  <x:si>
    <x:t>=ROUND(SUM(Invoice!D2:D6)*Invoice!B8,2)</x:t>
  </x:si>
  <x:si>
    <x:t>VAT on the invoice, to the cent</x:t>
  </x:si>
  <x:si>
    <x:t>=ROUND(SUM(Invoice!D2:D6),-2)</x:t>
  </x:si>
  <x:si>
    <x:t>The invoice to the nearest hundred, for a forecast</x:t>
  </x:si>
  <x:si>
    <x:t>INT</x:t>
  </x:si>
  <x:si>
    <x:t>=INT(Times!B3/60)</x:t>
  </x:si>
  <x:si>
    <x:t>Whole hours in the drafting time</x:t>
  </x:si>
  <x:si>
    <x:t>=INT(Invoice!B9)</x:t>
  </x:si>
  <x:si>
    <x:t>INT steps down, so a credit of -12.34 becomes -13</x:t>
  </x:si>
  <x:si>
    <x:t>TRUNC</x:t>
  </x:si>
  <x:si>
    <x:t>=TRUNC(Invoice!B9)</x:t>
  </x:si>
  <x:si>
    <x:t>TRUNC cuts towards zero: -12</x:t>
  </x:si>
  <x:si>
    <x:t>=TRUNC((DATE(2026,9,30)-DATE(2019,3,15))/365.25)</x:t>
  </x:si>
  <x:si>
    <x:t>Whole years of service</x:t>
  </x:si>
  <x:si>
    <x:t>ROUNDUP</x:t>
  </x:si>
  <x:si>
    <x:t>=ROUNDUP(Times!B2/15,0)*15</x:t>
  </x:si>
  <x:si>
    <x:t>The call, billed in started quarter hours</x:t>
  </x:si>
  <x:si>
    <x:t>ROUNDDOWN</x:t>
  </x:si>
  <x:si>
    <x:t>=ROUNDDOWN(SUM(Invoice!D2:D6),0)</x:t>
  </x:si>
  <x:si>
    <x:t>Loyalty points: one per whole euro</x:t>
  </x:si>
  <x:si>
    <x:t>MROUND</x:t>
  </x:si>
  <x:si>
    <x:t>=MROUND(Times!B5,5)</x:t>
  </x:si>
  <x:si>
    <x:t>The site visit to the nearest five minutes</x:t>
  </x:si>
  <x:si>
    <x:t>=MROUND(Invoice!C6*1.07,0.05)</x:t>
  </x:si>
  <x:si>
    <x:t>Catering with 7% added, to the nearest five cents</x:t>
  </x:si>
  <x:si>
    <x:t>CEILING</x:t>
  </x:si>
  <x:si>
    <x:t>FLOOR</x:t>
  </x:si>
  <x:si>
    <x:t>COM.MICROSOFT.CEILING</x:t>
  </x:si>
  <x:si>
    <x:t>=CEILING(Invoice!C2*1.03,5)</x:t>
  </x:si>
  <x:si>
    <x:t>Excel's CEILING: next year's hourly rate, up to a step of five</x:t>
  </x:si>
  <x:si>
    <x:t>=CEILING(Invoice!B9,1)</x:t>
  </x:si>
  <x:si>
    <x:t>Excel's CEILING on a credit goes towards zero: -12</x:t>
  </x:si>
  <x:si>
    <x:t>COM.MICROSOFT.FLOOR</x:t>
  </x:si>
  <x:si>
    <x:t>=FLOOR(Times!B5,30)</x:t>
  </x:si>
  <x:si>
    <x:t>The site visit in whole half hours</x:t>
  </x:si>
  <x:si>
    <x:t>=FLOOR(Invoice!B9,1)</x:t>
  </x:si>
  <x:si>
    <x:t>Excel's FLOOR on a credit goes away from zero: -13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</x:si>
</x:sst>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165" formatCode="hh:mm:ss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3">
    <x:xf fontId="0" fillId="0" borderId="0" xfId="0"/>
    <x:xf numFmtId="164" xfId="0" applyNumberFormat="1"/>
    <x:xf numFmtId="165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styles" Target="/xl/styles.xml" Id="rId5" /><Relationship Type="http://schemas.openxmlformats.org/officeDocument/2006/relationships/sharedStrings" Target="/xl/sharedStrings.xml" Id="rId6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">
        <x:v>4</x:v>
      </x:c>
      <x:c r="B2">
        <x:v>7.25</x:v>
      </x:c>
      <x:c r="C2">
        <x:v>95</x:v>
      </x:c>
      <x:c r="D2">
        <x:f>B2*C2</x:f>
        <x:v>688.75</x:v>
      </x:c>
    </x:row>
    <x:row r="3">
      <x:c r="A3" t="s">
        <x:v>5</x:v>
      </x:c>
      <x:c r="B3">
        <x:v>183</x:v>
      </x:c>
      <x:c r="C3">
        <x:v>0.42</x:v>
      </x:c>
      <x:c r="D3">
        <x:f>B3*C3</x:f>
        <x:v>76.86</x:v>
      </x:c>
    </x:row>
    <x:row r="4">
      <x:c r="A4" t="s">
        <x:v>6</x:v>
      </x:c>
      <x:c r="B4">
        <x:v>35</x:v>
      </x:c>
      <x:c r="C4">
        <x:v>1.85</x:v>
      </x:c>
      <x:c r="D4">
        <x:f>B4*C4</x:f>
        <x:v>64.75</x:v>
      </x:c>
    </x:row>
    <x:row r="5">
      <x:c r="A5" t="s">
        <x:v>7</x:v>
      </x:c>
      <x:c r="B5">
        <x:v>1</x:v>
      </x:c>
      <x:c r="C5">
        <x:v>240</x:v>
      </x:c>
      <x:c r="D5">
        <x:f>B5*C5</x:f>
        <x:v>240</x:v>
      </x:c>
    </x:row>
    <x:row r="6">
      <x:c r="A6" t="s">
        <x:v>8</x:v>
      </x:c>
      <x:c r="B6">
        <x:v>18</x:v>
      </x:c>
      <x:c r="C6">
        <x:v>12.4</x:v>
      </x:c>
      <x:c r="D6">
        <x:f>B6*C6</x:f>
        <x:v>223.2</x:v>
      </x:c>
    </x:row>
    <x:row r="8">
      <x:c r="A8" t="s">
        <x:v>9</x:v>
      </x:c>
      <x:c r="B8">
        <x:v>0.19</x:v>
      </x:c>
    </x:row>
    <x:row r="9">
      <x:c r="A9" t="s">
        <x:v>10</x:v>
      </x:c>
      <x:c r="B9">
        <x:v>-12.34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11</x:v>
      </x:c>
      <x:c r="B1" t="s">
        <x:v>12</x:v>
      </x:c>
    </x:row>
    <x:row r="2">
      <x:c r="A2" t="s">
        <x:v>13</x:v>
      </x:c>
      <x:c r="B2">
        <x:v>47</x:v>
      </x:c>
    </x:row>
    <x:row r="3">
      <x:c r="A3" t="s">
        <x:v>14</x:v>
      </x:c>
      <x:c r="B3">
        <x:v>133</x:v>
      </x:c>
    </x:row>
    <x:row r="4">
      <x:c r="A4" t="s">
        <x:v>15</x:v>
      </x:c>
      <x:c r="B4">
        <x:v>22</x:v>
      </x:c>
    </x:row>
    <x:row r="5">
      <x:c r="A5" t="s">
        <x:v>16</x:v>
      </x:c>
      <x:c r="B5">
        <x:v>188</x:v>
      </x:c>
    </x:row>
    <x:row r="6">
      <x:c r="A6" t="s">
        <x:v>17</x:v>
      </x:c>
      <x:c r="B6">
        <x:v>40</x:v>
      </x:c>
    </x:row>
    <x:row r="7">
      <x:c r="A7" t="s">
        <x:v>18</x:v>
      </x:c>
      <x:c r="B7">
        <x:v>257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">
        <x:v>19</x:v>
      </x:c>
      <x:c r="B1" t="s">
        <x:v>20</x:v>
      </x:c>
      <x:c r="C1" t="s">
        <x:v>21</x:v>
      </x:c>
      <x:c r="D1" t="s">
        <x:v>22</x:v>
      </x:c>
    </x:row>
    <x:row r="2">
      <x:c r="A2" t="s">
        <x:v>23</x:v>
      </x:c>
      <x:c r="B2" t="s">
        <x:v>24</x:v>
      </x:c>
      <x:c r="C2">
        <x:f>ROUND(SUM(Invoice!D2:D6)*Invoice!B8,2)</x:f>
        <x:v>245.78</x:v>
      </x:c>
      <x:c r="D2" t="s">
        <x:v>25</x:v>
      </x:c>
    </x:row>
    <x:row r="3">
      <x:c r="A3" t="s">
        <x:v>23</x:v>
      </x:c>
      <x:c r="B3" t="s">
        <x:v>26</x:v>
      </x:c>
      <x:c r="C3">
        <x:f>ROUND(SUM(Invoice!D2:D6),-2)</x:f>
        <x:v>1300</x:v>
      </x:c>
      <x:c r="D3" t="s">
        <x:v>27</x:v>
      </x:c>
    </x:row>
    <x:row r="4">
      <x:c r="A4" t="s">
        <x:v>28</x:v>
      </x:c>
      <x:c r="B4" t="s">
        <x:v>29</x:v>
      </x:c>
      <x:c r="C4">
        <x:f>INT(Times!B3/60)</x:f>
        <x:v>2</x:v>
      </x:c>
      <x:c r="D4" t="s">
        <x:v>30</x:v>
      </x:c>
    </x:row>
    <x:row r="5">
      <x:c r="A5" t="s">
        <x:v>28</x:v>
      </x:c>
      <x:c r="B5" t="s">
        <x:v>31</x:v>
      </x:c>
      <x:c r="C5">
        <x:f>INT(Invoice!B9)</x:f>
        <x:v>-13</x:v>
      </x:c>
      <x:c r="D5" t="s">
        <x:v>32</x:v>
      </x:c>
    </x:row>
    <x:row r="6">
      <x:c r="A6" t="s">
        <x:v>33</x:v>
      </x:c>
      <x:c r="B6" t="s">
        <x:v>34</x:v>
      </x:c>
      <x:c r="C6">
        <x:f>TRUNC(Invoice!B9)</x:f>
        <x:v>-12</x:v>
      </x:c>
      <x:c r="D6" t="s">
        <x:v>35</x:v>
      </x:c>
    </x:row>
    <x:row r="7">
      <x:c r="A7" t="s">
        <x:v>33</x:v>
      </x:c>
      <x:c r="B7" t="s">
        <x:v>36</x:v>
      </x:c>
      <x:c r="C7">
        <x:f>TRUNC((DATE(2026,9,30)-DATE(2019,3,15))/365.25)</x:f>
        <x:v>7</x:v>
      </x:c>
      <x:c r="D7" t="s">
        <x:v>37</x:v>
      </x:c>
    </x:row>
    <x:row r="8">
      <x:c r="A8" t="s">
        <x:v>38</x:v>
      </x:c>
      <x:c r="B8" t="s">
        <x:v>39</x:v>
      </x:c>
      <x:c r="C8">
        <x:f>ROUNDUP(Times!B2/15,0)*15</x:f>
        <x:v>60</x:v>
      </x:c>
      <x:c r="D8" t="s">
        <x:v>40</x:v>
      </x:c>
    </x:row>
    <x:row r="9">
      <x:c r="A9" t="s">
        <x:v>41</x:v>
      </x:c>
      <x:c r="B9" t="s">
        <x:v>42</x:v>
      </x:c>
      <x:c r="C9">
        <x:f>ROUNDDOWN(SUM(Invoice!D2:D6),0)</x:f>
        <x:v>1293</x:v>
      </x:c>
      <x:c r="D9" t="s">
        <x:v>43</x:v>
      </x:c>
    </x:row>
    <x:row r="10">
      <x:c r="A10" t="s">
        <x:v>44</x:v>
      </x:c>
      <x:c r="B10" t="s">
        <x:v>45</x:v>
      </x:c>
      <x:c r="C10">
        <x:f>MROUND(Times!B5,5)</x:f>
        <x:v>190</x:v>
      </x:c>
      <x:c r="D10" t="s">
        <x:v>46</x:v>
      </x:c>
    </x:row>
    <x:row r="11">
      <x:c r="A11" t="s">
        <x:v>44</x:v>
      </x:c>
      <x:c r="B11" t="s">
        <x:v>47</x:v>
      </x:c>
      <x:c r="C11">
        <x:f>MROUND(Invoice!C6*1.07,0.05)</x:f>
        <x:v>13.25</x:v>
      </x:c>
      <x:c r="D11" t="s">
        <x:v>48</x:v>
      </x:c>
    </x:row>
    <x:row r="12">
      <x:c r="A12" t="s">
        <x:v>49</x:v>
      </x:c>
    </x:row>
    <x:row r="13">
      <x:c r="A13" t="s">
        <x:v>49</x:v>
      </x:c>
    </x:row>
    <x:row r="14">
      <x:c r="A14" t="s">
        <x:v>49</x:v>
      </x:c>
    </x:row>
    <x:row r="15">
      <x:c r="A15" t="s">
        <x:v>50</x:v>
      </x:c>
    </x:row>
    <x:row r="16">
      <x:c r="A16" t="s">
        <x:v>50</x:v>
      </x:c>
    </x:row>
    <x:row r="17">
      <x:c r="A17" t="s">
        <x:v>51</x:v>
      </x:c>
      <x:c r="B17" t="s">
        <x:v>52</x:v>
      </x:c>
      <x:c r="C17">
        <x:f>CEILING(Invoice!C2*1.03,5)</x:f>
        <x:v>100</x:v>
      </x:c>
      <x:c r="D17" t="s">
        <x:v>53</x:v>
      </x:c>
    </x:row>
    <x:row r="18">
      <x:c r="A18" t="s">
        <x:v>51</x:v>
      </x:c>
      <x:c r="B18" t="s">
        <x:v>54</x:v>
      </x:c>
      <x:c r="C18">
        <x:f>CEILING(Invoice!B9,1)</x:f>
        <x:v>-12</x:v>
      </x:c>
      <x:c r="D18" t="s">
        <x:v>55</x:v>
      </x:c>
    </x:row>
    <x:row r="19">
      <x:c r="A19" t="s">
        <x:v>56</x:v>
      </x:c>
      <x:c r="B19" t="s">
        <x:v>57</x:v>
      </x:c>
      <x:c r="C19">
        <x:f>FLOOR(Times!B5,30)</x:f>
        <x:v>180</x:v>
      </x:c>
      <x:c r="D19" t="s">
        <x:v>58</x:v>
      </x:c>
    </x:row>
    <x:row r="20">
      <x:c r="A20" t="s">
        <x:v>56</x:v>
      </x:c>
      <x:c r="B20" t="s">
        <x:v>59</x:v>
      </x:c>
      <x:c r="C20">
        <x:f>FLOOR(Invoice!B9,1)</x:f>
        <x:v>-13</x:v>
      </x:c>
      <x:c r="D20" t="s">
        <x:v>60</x:v>
      </x:c>
    </x:row>
  </x:sheetData>
</x:worksheet>
</file>