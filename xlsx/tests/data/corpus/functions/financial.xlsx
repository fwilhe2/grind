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" sheetId="1" r:id="rId2"/>
    <x:sheet xmlns:r="http://schemas.openxmlformats.org/officeDocument/2006/relationships" name="Van" sheetId="2" r:id="rId3"/>
    <x:sheet xmlns:r="http://schemas.openxmlformats.org/officeDocument/2006/relationships" name="Project" sheetId="3" r:id="rId4"/>
    <x:sheet xmlns:r="http://schemas.openxmlformats.org/officeDocument/2006/relationships" name="Samples" sheetId="4" r:id="rId5"/>
  </x:sheets>
  <x:calcPr calcId="191029" fullCalcOnLoad="0"/>
</x:workbook>
</file>

<file path=xl/sharedStrings.xml><?xml version="1.0" encoding="utf-8"?>
<x:sst xmlns:x="http://schemas.openxmlformats.org/spreadsheetml/2006/main" count="58" uniqueCount="58">
  <x:si>
    <x:t>Item</x:t>
  </x:si>
  <x:si>
    <x:t>Value</x:t>
  </x:si>
  <x:si>
    <x:t>House price</x:t>
  </x:si>
  <x:si>
    <x:t>Deposit</x:t>
  </x:si>
  <x:si>
    <x:t>Annual rate</x:t>
  </x:si>
  <x:si>
    <x:t>Years</x:t>
  </x:si>
  <x:si>
    <x:t>Monthly savings</x:t>
  </x:si>
  <x:si>
    <x:t>Savings rate</x:t>
  </x:si>
  <x:si>
    <x:t>Cost</x:t>
  </x:si>
  <x:si>
    <x:t>Salvage value</x:t>
  </x:si>
  <x:si>
    <x:t>Useful life, years</x:t>
  </x:si>
  <x:si>
    <x:t>Year</x:t>
  </x:si>
  <x:si>
    <x:t>Cash flow</x:t>
  </x:si>
  <x:si>
    <x:t>Discount rate</x:t>
  </x:si>
  <x:si>
    <x:t>Function</x:t>
  </x:si>
  <x:si>
    <x:t>Formula</x:t>
  </x:si>
  <x:si>
    <x:t>Result</x:t>
  </x:si>
  <x:si>
    <x:t>What it shows</x:t>
  </x:si>
  <x:si>
    <x:t>PMT</x:t>
  </x:si>
  <x:si>
    <x:t>=PMT(Loan!B4/12,Loan!B5*12,-(Loan!B2-Loan!B3))</x:t>
  </x:si>
  <x:si>
    <x:t>The monthly mortgage payment</x:t>
  </x:si>
  <x:si>
    <x:t>IPMT</x:t>
  </x:si>
  <x:si>
    <x:t>=IPMT(Loan!B4/12,1,Loan!B5*12,-(Loan!B2-Loan!B3))</x:t>
  </x:si>
  <x:si>
    <x:t>Interest in the first payment</x:t>
  </x:si>
  <x:si>
    <x:t>PPMT</x:t>
  </x:si>
  <x:si>
    <x:t>=PPMT(Loan!B4/12,1,Loan!B5*12,-(Loan!B2-Loan!B3))</x:t>
  </x:si>
  <x:si>
    <x:t>Principal in the first payment</x:t>
  </x:si>
  <x:si>
    <x:t>=PPMT(Loan!B4/12,300,Loan!B5*12,-(Loan!B2-Loan!B3))</x:t>
  </x:si>
  <x:si>
    <x:t>…and in the last one</x:t>
  </x:si>
  <x:si>
    <x:t>NPER</x:t>
  </x:si>
  <x:si>
    <x:t>=NPER(Loan!B4/12,-2000,Loan!B2-Loan!B3)</x:t>
  </x:si>
  <x:si>
    <x:t>Months to repay, paying 2000 a month</x:t>
  </x:si>
  <x:si>
    <x:t>FV</x:t>
  </x:si>
  <x:si>
    <x:t>=FV(Loan!B7/12,10*12,-Loan!B6)</x:t>
  </x:si>
  <x:si>
    <x:t>Savings after ten years of monthly deposits</x:t>
  </x:si>
  <x:si>
    <x:t>PV</x:t>
  </x:si>
  <x:si>
    <x:t>=PV(0.04/12,20*12,-1500)</x:t>
  </x:si>
  <x:si>
    <x:t>What 1500 a month for twenty years is worth today</x:t>
  </x:si>
  <x:si>
    <x:t>RATE</x:t>
  </x:si>
  <x:si>
    <x:t>=RATE(48,-450,18000)*12</x:t>
  </x:si>
  <x:si>
    <x:t>The annual rate of a car loan: 48 payments of 450 for 18000</x:t>
  </x:si>
  <x:si>
    <x:t>NPV</x:t>
  </x:si>
  <x:si>
    <x:t>=NPV(Project!B8,Project!B3:B7)+Project!B2</x:t>
  </x:si>
  <x:si>
    <x:t>The investment's net present value</x:t>
  </x:si>
  <x:si>
    <x:t>IRR</x:t>
  </x:si>
  <x:si>
    <x:t>=IRR(Project!B2:B7)</x:t>
  </x:si>
  <x:si>
    <x:t>Its internal rate of return</x:t>
  </x:si>
  <x:si>
    <x:t>SLN</x:t>
  </x:si>
  <x:si>
    <x:t>=SLN(Van!B2,Van!B3,Van!B4)</x:t>
  </x:si>
  <x:si>
    <x:t>The van's yearly depreciation, straight-line</x:t>
  </x:si>
  <x:si>
    <x:t>SYD</x:t>
  </x:si>
  <x:si>
    <x:t>=SYD(Van!B2,Van!B3,Van!B4,1)</x:t>
  </x:si>
  <x:si>
    <x:t>First year, sum-of-years'-digits</x:t>
  </x:si>
  <x:si>
    <x:t>DDB</x:t>
  </x:si>
  <x:si>
    <x:t>=DDB(Van!B2,Van!B3,Van!B4,1)</x:t>
  </x:si>
  <x:si>
    <x:t>First year, double-declining balance</x:t>
  </x:si>
  <x:si>
    <x:t>=DDB(Van!B2,Van!B3,Van!B4,2)</x:t>
  </x:si>
  <x:si>
    <x:t>Second year, double-declining balance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</x:si>
</x:sst>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styles" Target="/xl/styles.xml" Id="rId6" /><Relationship Type="http://schemas.openxmlformats.org/officeDocument/2006/relationships/sharedStrings" Target="/xl/sharedStrings.xml" Id="rId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350000</x:v>
      </x:c>
    </x:row>
    <x:row r="3">
      <x:c r="A3" t="s">
        <x:v>3</x:v>
      </x:c>
      <x:c r="B3">
        <x:v>70000</x:v>
      </x:c>
    </x:row>
    <x:row r="4">
      <x:c r="A4" t="s">
        <x:v>4</x:v>
      </x:c>
      <x:c r="B4">
        <x:v>0.0375</x:v>
      </x:c>
    </x:row>
    <x:row r="5">
      <x:c r="A5" t="s">
        <x:v>5</x:v>
      </x:c>
      <x:c r="B5">
        <x:v>25</x:v>
      </x:c>
    </x:row>
    <x:row r="6">
      <x:c r="A6" t="s">
        <x:v>6</x:v>
      </x:c>
      <x:c r="B6">
        <x:v>250</x:v>
      </x:c>
    </x:row>
    <x:row r="7">
      <x:c r="A7" t="s">
        <x:v>7</x:v>
      </x:c>
      <x:c r="B7">
        <x:v>0.03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8</x:v>
      </x:c>
      <x:c r="B2">
        <x:v>38500</x:v>
      </x:c>
    </x:row>
    <x:row r="3">
      <x:c r="A3" t="s">
        <x:v>9</x:v>
      </x:c>
      <x:c r="B3">
        <x:v>6000</x:v>
      </x:c>
    </x:row>
    <x:row r="4">
      <x:c r="A4" t="s">
        <x:v>10</x:v>
      </x:c>
      <x:c r="B4">
        <x:v>6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11</x:v>
      </x:c>
      <x:c r="B1" t="s">
        <x:v>12</x:v>
      </x:c>
    </x:row>
    <x:row r="2">
      <x:c r="A2">
        <x:v>0</x:v>
      </x:c>
      <x:c r="B2">
        <x:v>-120000</x:v>
      </x:c>
    </x:row>
    <x:row r="3">
      <x:c r="A3">
        <x:v>1</x:v>
      </x:c>
      <x:c r="B3">
        <x:v>28000</x:v>
      </x:c>
    </x:row>
    <x:row r="4">
      <x:c r="A4">
        <x:v>2</x:v>
      </x:c>
      <x:c r="B4">
        <x:v>35000</x:v>
      </x:c>
    </x:row>
    <x:row r="5">
      <x:c r="A5">
        <x:v>3</x:v>
      </x:c>
      <x:c r="B5">
        <x:v>41000</x:v>
      </x:c>
    </x:row>
    <x:row r="6">
      <x:c r="A6">
        <x:v>4</x:v>
      </x:c>
      <x:c r="B6">
        <x:v>38000</x:v>
      </x:c>
    </x:row>
    <x:row r="7">
      <x:c r="A7">
        <x:v>5</x:v>
      </x:c>
      <x:c r="B7">
        <x:v>30000</x:v>
      </x:c>
    </x:row>
    <x:row r="8">
      <x:c r="A8" t="s">
        <x:v>13</x:v>
      </x:c>
      <x:c r="B8">
        <x:v>0.08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14</x:v>
      </x:c>
      <x:c r="B1" t="s">
        <x:v>15</x:v>
      </x:c>
      <x:c r="C1" t="s">
        <x:v>16</x:v>
      </x:c>
      <x:c r="D1" t="s">
        <x:v>17</x:v>
      </x:c>
    </x:row>
    <x:row r="2">
      <x:c r="A2" t="s">
        <x:v>18</x:v>
      </x:c>
      <x:c r="B2" t="s">
        <x:v>19</x:v>
      </x:c>
      <x:c r="C2">
        <x:f>PMT(Loan!B4/12,Loan!B5*12,-(Loan!B2-Loan!B3))</x:f>
        <x:v>1439.5673588866</x:v>
      </x:c>
      <x:c r="D2" t="s">
        <x:v>20</x:v>
      </x:c>
    </x:row>
    <x:row r="3">
      <x:c r="A3" t="s">
        <x:v>21</x:v>
      </x:c>
      <x:c r="B3" t="s">
        <x:v>22</x:v>
      </x:c>
      <x:c r="C3">
        <x:f>IPMT(Loan!B4/12,1,Loan!B5*12,-(Loan!B2-Loan!B3))</x:f>
        <x:v>875</x:v>
      </x:c>
      <x:c r="D3" t="s">
        <x:v>23</x:v>
      </x:c>
    </x:row>
    <x:row r="4">
      <x:c r="A4" t="s">
        <x:v>24</x:v>
      </x:c>
      <x:c r="B4" t="s">
        <x:v>25</x:v>
      </x:c>
      <x:c r="C4">
        <x:f>PPMT(Loan!B4/12,1,Loan!B5*12,-(Loan!B2-Loan!B3))</x:f>
        <x:v>564.567358886595</x:v>
      </x:c>
      <x:c r="D4" t="s">
        <x:v>26</x:v>
      </x:c>
    </x:row>
    <x:row r="5">
      <x:c r="A5" t="s">
        <x:v>24</x:v>
      </x:c>
      <x:c r="B5" t="s">
        <x:v>27</x:v>
      </x:c>
      <x:c r="C5">
        <x:f>PPMT(Loan!B4/12,300,Loan!B5*12,-(Loan!B2-Loan!B3))</x:f>
        <x:v>1435.08272536983</x:v>
      </x:c>
      <x:c r="D5" t="s">
        <x:v>28</x:v>
      </x:c>
    </x:row>
    <x:row r="6">
      <x:c r="A6" t="s">
        <x:v>29</x:v>
      </x:c>
      <x:c r="B6" t="s">
        <x:v>30</x:v>
      </x:c>
      <x:c r="C6">
        <x:f>NPER(Loan!B4/12,-2000,Loan!B2-Loan!B3)</x:f>
        <x:v>184.404058840833</x:v>
      </x:c>
      <x:c r="D6" t="s">
        <x:v>31</x:v>
      </x:c>
    </x:row>
    <x:row r="7">
      <x:c r="A7" t="s">
        <x:v>32</x:v>
      </x:c>
      <x:c r="B7" t="s">
        <x:v>33</x:v>
      </x:c>
      <x:c r="C7">
        <x:f>FV(Loan!B7/12,10*12,-Loan!B6)</x:f>
        <x:v>34935.3547190825</x:v>
      </x:c>
      <x:c r="D7" t="s">
        <x:v>34</x:v>
      </x:c>
    </x:row>
    <x:row r="8">
      <x:c r="A8" t="s">
        <x:v>35</x:v>
      </x:c>
      <x:c r="B8" t="s">
        <x:v>36</x:v>
      </x:c>
      <x:c r="C8">
        <x:f>PV(0.04/12,20*12,-1500)</x:f>
        <x:v>247532.787365258</x:v>
      </x:c>
      <x:c r="D8" t="s">
        <x:v>37</x:v>
      </x:c>
    </x:row>
    <x:row r="9">
      <x:c r="A9" t="s">
        <x:v>38</x:v>
      </x:c>
      <x:c r="B9" t="s">
        <x:v>39</x:v>
      </x:c>
      <x:c r="C9">
        <x:f>RATE(48,-450,18000)*12</x:f>
        <x:v>0.0924176698588039</x:v>
      </x:c>
      <x:c r="D9" t="s">
        <x:v>40</x:v>
      </x:c>
    </x:row>
    <x:row r="10">
      <x:c r="A10" t="s">
        <x:v>41</x:v>
      </x:c>
      <x:c r="B10" t="s">
        <x:v>42</x:v>
      </x:c>
      <x:c r="C10">
        <x:f>NPV(Project!B8,Project!B3:B7)+Project!B2</x:f>
        <x:v>16828.5368355931</x:v>
      </x:c>
      <x:c r="D10" t="s">
        <x:v>43</x:v>
      </x:c>
    </x:row>
    <x:row r="11">
      <x:c r="A11" t="s">
        <x:v>44</x:v>
      </x:c>
      <x:c r="B11" t="s">
        <x:v>45</x:v>
      </x:c>
      <x:c r="C11">
        <x:f>IRR(Project!B2:B7)</x:f>
        <x:v>0.130642769289272</x:v>
      </x:c>
      <x:c r="D11" t="s">
        <x:v>46</x:v>
      </x:c>
    </x:row>
    <x:row r="12">
      <x:c r="A12" t="s">
        <x:v>47</x:v>
      </x:c>
      <x:c r="B12" t="s">
        <x:v>48</x:v>
      </x:c>
      <x:c r="C12">
        <x:f>SLN(Van!B2,Van!B3,Van!B4)</x:f>
        <x:v>5416.66666666667</x:v>
      </x:c>
      <x:c r="D12" t="s">
        <x:v>49</x:v>
      </x:c>
    </x:row>
    <x:row r="13">
      <x:c r="A13" t="s">
        <x:v>50</x:v>
      </x:c>
      <x:c r="B13" t="s">
        <x:v>51</x:v>
      </x:c>
      <x:c r="C13">
        <x:f>SYD(Van!B2,Van!B3,Van!B4,1)</x:f>
        <x:v>9285.71428571429</x:v>
      </x:c>
      <x:c r="D13" t="s">
        <x:v>52</x:v>
      </x:c>
    </x:row>
    <x:row r="14">
      <x:c r="A14" t="s">
        <x:v>53</x:v>
      </x:c>
      <x:c r="B14" t="s">
        <x:v>54</x:v>
      </x:c>
      <x:c r="C14">
        <x:f>DDB(Van!B2,Van!B3,Van!B4,1)</x:f>
        <x:v>12833.3333333333</x:v>
      </x:c>
      <x:c r="D14" t="s">
        <x:v>55</x:v>
      </x:c>
    </x:row>
    <x:row r="15">
      <x:c r="A15" t="s">
        <x:v>53</x:v>
      </x:c>
      <x:c r="B15" t="s">
        <x:v>56</x:v>
      </x:c>
      <x:c r="C15">
        <x:f>DDB(Van!B2,Van!B3,Van!B4,2)</x:f>
        <x:v>8555.55555555556</x:v>
      </x:c>
      <x:c r="D15" t="s">
        <x:v>57</x:v>
      </x:c>
    </x:row>
  </x:sheetData>
</x:worksheet>
</file>