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Id2"/>
    <x:sheet xmlns:r="http://schemas.openxmlformats.org/officeDocument/2006/relationships" name="Holidays" sheetId="2" r:id="rId3"/>
    <x:sheet xmlns:r="http://schemas.openxmlformats.org/officeDocument/2006/relationships" name="Timesheet" sheetId="3" r:id="rId4"/>
    <x:sheet xmlns:r="http://schemas.openxmlformats.org/officeDocument/2006/relationships" name="Samples" sheetId="4" r:id="rId5"/>
  </x:sheets>
  <x:calcPr calcId="191029" fullCalcOnLoad="0"/>
</x:workbook>
</file>

<file path=xl/sharedStrings.xml><?xml version="1.0" encoding="utf-8"?>
<x:sst xmlns:x="http://schemas.openxmlformats.org/spreadsheetml/2006/main" count="81" uniqueCount="81">
  <x:si>
    <x:t>Task</x:t>
  </x:si>
  <x:si>
    <x:t>Start</x:t>
  </x:si>
  <x:si>
    <x:t>Working days</x:t>
  </x:si>
  <x:si>
    <x:t>End</x:t>
  </x:si>
  <x:si>
    <x:t>Kick-off</x:t>
  </x:si>
  <x:si>
    <x:t>Requirements</x:t>
  </x:si>
  <x:si>
    <x:t>Design</x:t>
  </x:si>
  <x:si>
    <x:t>Build</x:t>
  </x:si>
  <x:si>
    <x:t>Testing</x:t>
  </x:si>
  <x:si>
    <x:t>Launch</x:t>
  </x:si>
  <x:si>
    <x:t>Date</x:t>
  </x:si>
  <x:si>
    <x:t>Holiday</x:t>
  </x:si>
  <x:si>
    <x:t>Day of German Unity</x:t>
  </x:si>
  <x:si>
    <x:t>Christmas Day</x:t>
  </x:si>
  <x:si>
    <x:t>Boxing Day</x:t>
  </x:si>
  <x:si>
    <x:t>In</x:t>
  </x:si>
  <x:si>
    <x:t>Out</x:t>
  </x:si>
  <x:si>
    <x:t>Break</x:t>
  </x:si>
  <x:si>
    <x:t>Function</x:t>
  </x:si>
  <x:si>
    <x:t>Formula</x:t>
  </x:si>
  <x:si>
    <x:t>Result</x:t>
  </x:si>
  <x:si>
    <x:t>What it shows</x:t>
  </x:si>
  <x:si>
    <x:t>DATE</x:t>
  </x:si>
  <x:si>
    <x:t>=DATE(2026,11,30)</x:t>
  </x:si>
  <x:si>
    <x:t>The hand-over date</x:t>
  </x:si>
  <x:si>
    <x:t>=DATE(YEAR(Schedule!B2),MONTH(Schedule!B2)+3,1)</x:t>
  </x:si>
  <x:si>
    <x:t>The first of the month a quarter after kick-off</x:t>
  </x:si>
  <x:si>
    <x:t>YEAR</x:t>
  </x:si>
  <x:si>
    <x:t>=YEAR(Schedule!B3)</x:t>
  </x:si>
  <x:si>
    <x:t>The year requirements start</x:t>
  </x:si>
  <x:si>
    <x:t>MONTH</x:t>
  </x:si>
  <x:si>
    <x:t>=MONTH(Schedule!B5)</x:t>
  </x:si>
  <x:si>
    <x:t>The month the build starts</x:t>
  </x:si>
  <x:si>
    <x:t>DAY</x:t>
  </x:si>
  <x:si>
    <x:t>=DAY(Schedule!B4)</x:t>
  </x:si>
  <x:si>
    <x:t>The day of the month design starts</x:t>
  </x:si>
  <x:si>
    <x:t>WEEKDAY</x:t>
  </x:si>
  <x:si>
    <x:t>=WEEKDAY(Schedule!B2,2)</x:t>
  </x:si>
  <x:si>
    <x:t>Kick-off's weekday, Monday being 1</x:t>
  </x:si>
  <x:si>
    <x:t>EDATE</x:t>
  </x:si>
  <x:si>
    <x:t>=EDATE(Schedule!B2,6)</x:t>
  </x:si>
  <x:si>
    <x:t>The six-month review</x:t>
  </x:si>
  <x:si>
    <x:t>EOMONTH</x:t>
  </x:si>
  <x:si>
    <x:t>=EOMONTH(Schedule!B2,0)</x:t>
  </x:si>
  <x:si>
    <x:t>Invoice date: the end of the kick-off month</x:t>
  </x:si>
  <x:si>
    <x:t>=EOMONTH(Schedule!B2,2)+1</x:t>
  </x:si>
  <x:si>
    <x:t>The first day of the third month</x:t>
  </x:si>
  <x:si>
    <x:t>NETWORKDAYS</x:t>
  </x:si>
  <x:si>
    <x:t>=NETWORKDAYS(Schedule!B2,Schedule!D7,Holidays!A2:A4)</x:t>
  </x:si>
  <x:si>
    <x:t>Working days from kick-off to launch, holidays excluded</x:t>
  </x:si>
  <x:si>
    <x:t>WORKDAY</x:t>
  </x:si>
  <x:si>
    <x:t>=WORKDAY(Schedule!B6,10,Holidays!A2:A4)</x:t>
  </x:si>
  <x:si>
    <x:t>Ten working days after testing starts</x:t>
  </x:si>
  <x:si>
    <x:t>WEEKNUM</x:t>
  </x:si>
  <x:si>
    <x:t>=WEEKNUM(Schedule!B4,2)</x:t>
  </x:si>
  <x:si>
    <x:t>Design's week of the year, weeks starting on Monday</x:t>
  </x:si>
  <x:si>
    <x:t>ISOWEEKNUM</x:t>
  </x:si>
  <x:si>
    <x:t>=ISOWEEKNUM(Schedule!B4)</x:t>
  </x:si>
  <x:si>
    <x:t>The same week by ISO 8601</x:t>
  </x:si>
  <x:si>
    <x:t>TIME</x:t>
  </x:si>
  <x:si>
    <x:t>=TIME(8,30,0)</x:t>
  </x:si>
  <x:si>
    <x:t>When core hours begin</x:t>
  </x:si>
  <x:si>
    <x:t>=Timesheet!C2-Timesheet!B2-Timesheet!D2&gt;TIME(8,0,0)</x:t>
  </x:si>
  <x:si>
    <x:t>Worked more than eight hours?</x:t>
  </x:si>
  <x:si>
    <x:t>HOUR</x:t>
  </x:si>
  <x:si>
    <x:t>=HOUR(Timesheet!C2-Timesheet!B2-Timesheet!D2)</x:t>
  </x:si>
  <x:si>
    <x:t>Whole hours worked</x:t>
  </x:si>
  <x:si>
    <x:t>MINUTE</x:t>
  </x:si>
  <x:si>
    <x:t>=MINUTE(Timesheet!C2-Timesheet!B2-Timesheet!D2)</x:t>
  </x:si>
  <x:si>
    <x:t>…and the minutes beyond them</x:t>
  </x:si>
  <x:si>
    <x:t>SECOND</x:t>
  </x:si>
  <x:si>
    <x:t>=SECOND(Timesheet!B2)</x:t>
  </x:si>
  <x:si>
    <x:t>The seconds on the clock-in time</x:t>
  </x:si>
  <x:si>
    <x:t>=HOUR(Timesheet!B2)</x:t>
  </x:si>
  <x:si>
    <x:t>The hour of the clock-in time</x:t>
  </x:si>
  <x:si>
    <x:t>TODAY</x:t>
  </x:si>
  <x:si>
    <x:t>=YEAR(TODAY())&gt;=2026</x:t>
  </x:si>
  <x:si>
    <x:t>TODAY is the date the sheet is recalculated</x:t>
  </x:si>
  <x:si>
    <x:t>NOW</x:t>
  </x:si>
  <x:si>
    <x:t>=INT(NOW())=TODAY()</x:t>
  </x:si>
  <x:si>
    <x:t>NOW is today plus the time of day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</x:si>
</x:sst>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styles" Target="/xl/styles.xml" Id="rId6" /><Relationship Type="http://schemas.openxmlformats.org/officeDocument/2006/relationships/sharedStrings" Target="/xl/sharedStrings.xml" Id="rId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s="1">
        <x:v>46266</x:v>
      </x:c>
      <x:c r="C2">
        <x:v>1</x:v>
      </x:c>
      <x:c r="D2">
        <x:f>WORKDAY(B2,C2-1,Holidays!A$2:A$4)</x:f>
        <x:v>46266</x:v>
      </x:c>
    </x:row>
    <x:row r="3">
      <x:c r="A3" t="s">
        <x:v>5</x:v>
      </x:c>
      <x:c r="B3" s="1">
        <x:v>46267</x:v>
      </x:c>
      <x:c r="C3">
        <x:v>8</x:v>
      </x:c>
      <x:c r="D3">
        <x:f>WORKDAY(B3,C3-1,Holidays!A$2:A$4)</x:f>
        <x:v>46276</x:v>
      </x:c>
    </x:row>
    <x:row r="4">
      <x:c r="A4" t="s">
        <x:v>6</x:v>
      </x:c>
      <x:c r="B4" s="1">
        <x:v>46279</x:v>
      </x:c>
      <x:c r="C4">
        <x:v>10</x:v>
      </x:c>
      <x:c r="D4">
        <x:f>WORKDAY(B4,C4-1,Holidays!A$2:A$4)</x:f>
        <x:v>46290</x:v>
      </x:c>
    </x:row>
    <x:row r="5">
      <x:c r="A5" t="s">
        <x:v>7</x:v>
      </x:c>
      <x:c r="B5" s="1">
        <x:v>46293</x:v>
      </x:c>
      <x:c r="C5">
        <x:v>20</x:v>
      </x:c>
      <x:c r="D5">
        <x:f>WORKDAY(B5,C5-1,Holidays!A$2:A$4)</x:f>
        <x:v>46318</x:v>
      </x:c>
    </x:row>
    <x:row r="6">
      <x:c r="A6" t="s">
        <x:v>8</x:v>
      </x:c>
      <x:c r="B6" s="1">
        <x:v>46322</x:v>
      </x:c>
      <x:c r="C6">
        <x:v>10</x:v>
      </x:c>
      <x:c r="D6">
        <x:f>WORKDAY(B6,C6-1,Holidays!A$2:A$4)</x:f>
        <x:v>46335</x:v>
      </x:c>
    </x:row>
    <x:row r="7">
      <x:c r="A7" t="s">
        <x:v>9</x:v>
      </x:c>
      <x:c r="B7" s="1">
        <x:v>46336</x:v>
      </x:c>
      <x:c r="C7">
        <x:v>1</x:v>
      </x:c>
      <x:c r="D7">
        <x:f>WORKDAY(B7,C7-1,Holidays!A$2:A$4)</x:f>
        <x:v>46336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10</x:v>
      </x:c>
      <x:c r="B1" t="s">
        <x:v>11</x:v>
      </x:c>
    </x:row>
    <x:row r="2">
      <x:c r="A2" s="1">
        <x:v>46298</x:v>
      </x:c>
      <x:c r="B2" t="s">
        <x:v>12</x:v>
      </x:c>
    </x:row>
    <x:row r="3">
      <x:c r="A3" s="1">
        <x:v>46381</x:v>
      </x:c>
      <x:c r="B3" t="s">
        <x:v>13</x:v>
      </x:c>
    </x:row>
    <x:row r="4">
      <x:c r="A4" s="1">
        <x:v>46382</x:v>
      </x:c>
      <x:c r="B4" t="s">
        <x:v>14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10</x:v>
      </x:c>
      <x:c r="B1" t="s">
        <x:v>15</x:v>
      </x:c>
      <x:c r="C1" t="s">
        <x:v>16</x:v>
      </x:c>
      <x:c r="D1" t="s">
        <x:v>17</x:v>
      </x:c>
    </x:row>
    <x:row r="2">
      <x:c r="A2" s="1">
        <x:v>46279</x:v>
      </x:c>
      <x:c r="B2" s="2">
        <x:v>0.3663194444444444</x:v>
      </x:c>
      <x:c r="C2" s="2">
        <x:v>0.7166666666666667</x:v>
      </x:c>
      <x:c r="D2" s="2">
        <x:v>0.03125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</x:row>
    <x:row r="2">
      <x:c r="A2" t="s">
        <x:v>22</x:v>
      </x:c>
      <x:c r="B2" t="s">
        <x:v>23</x:v>
      </x:c>
      <x:c r="C2" s="1">
        <x:f>DATE(2026,11,30)</x:f>
        <x:v>46356</x:v>
      </x:c>
      <x:c r="D2" t="s">
        <x:v>24</x:v>
      </x:c>
    </x:row>
    <x:row r="3">
      <x:c r="A3" t="s">
        <x:v>22</x:v>
      </x:c>
      <x:c r="B3" t="s">
        <x:v>25</x:v>
      </x:c>
      <x:c r="C3" s="1">
        <x:f>DATE(YEAR(Schedule!B2),MONTH(Schedule!B2)+3,1)</x:f>
        <x:v>46357</x:v>
      </x:c>
      <x:c r="D3" t="s">
        <x:v>26</x:v>
      </x:c>
    </x:row>
    <x:row r="4">
      <x:c r="A4" t="s">
        <x:v>27</x:v>
      </x:c>
      <x:c r="B4" t="s">
        <x:v>28</x:v>
      </x:c>
      <x:c r="C4">
        <x:f>YEAR(Schedule!B3)</x:f>
        <x:v>2026</x:v>
      </x:c>
      <x:c r="D4" t="s">
        <x:v>29</x:v>
      </x:c>
    </x:row>
    <x:row r="5">
      <x:c r="A5" t="s">
        <x:v>30</x:v>
      </x:c>
      <x:c r="B5" t="s">
        <x:v>31</x:v>
      </x:c>
      <x:c r="C5">
        <x:f>MONTH(Schedule!B5)</x:f>
        <x:v>9</x:v>
      </x:c>
      <x:c r="D5" t="s">
        <x:v>32</x:v>
      </x:c>
    </x:row>
    <x:row r="6">
      <x:c r="A6" t="s">
        <x:v>33</x:v>
      </x:c>
      <x:c r="B6" t="s">
        <x:v>34</x:v>
      </x:c>
      <x:c r="C6">
        <x:f>DAY(Schedule!B4)</x:f>
        <x:v>14</x:v>
      </x:c>
      <x:c r="D6" t="s">
        <x:v>35</x:v>
      </x:c>
    </x:row>
    <x:row r="7">
      <x:c r="A7" t="s">
        <x:v>36</x:v>
      </x:c>
      <x:c r="B7" t="s">
        <x:v>37</x:v>
      </x:c>
      <x:c r="C7">
        <x:f>WEEKDAY(Schedule!B2,2)</x:f>
        <x:v>2</x:v>
      </x:c>
      <x:c r="D7" t="s">
        <x:v>38</x:v>
      </x:c>
    </x:row>
    <x:row r="8">
      <x:c r="A8" t="s">
        <x:v>39</x:v>
      </x:c>
      <x:c r="B8" t="s">
        <x:v>40</x:v>
      </x:c>
      <x:c r="C8">
        <x:f>EDATE(Schedule!B2,6)</x:f>
        <x:v>46447</x:v>
      </x:c>
      <x:c r="D8" t="s">
        <x:v>41</x:v>
      </x:c>
    </x:row>
    <x:row r="9">
      <x:c r="A9" t="s">
        <x:v>42</x:v>
      </x:c>
      <x:c r="B9" t="s">
        <x:v>43</x:v>
      </x:c>
      <x:c r="C9">
        <x:f>EOMONTH(Schedule!B2,0)</x:f>
        <x:v>46295</x:v>
      </x:c>
      <x:c r="D9" t="s">
        <x:v>44</x:v>
      </x:c>
    </x:row>
    <x:row r="10">
      <x:c r="A10" t="s">
        <x:v>42</x:v>
      </x:c>
      <x:c r="B10" t="s">
        <x:v>45</x:v>
      </x:c>
      <x:c r="C10">
        <x:f>EOMONTH(Schedule!B2,2)+1</x:f>
        <x:v>46357</x:v>
      </x:c>
      <x:c r="D10" t="s">
        <x:v>46</x:v>
      </x:c>
    </x:row>
    <x:row r="11">
      <x:c r="A11" t="s">
        <x:v>47</x:v>
      </x:c>
      <x:c r="B11" t="s">
        <x:v>48</x:v>
      </x:c>
      <x:c r="C11">
        <x:f>NETWORKDAYS(Schedule!B2,Schedule!D7,Holidays!A2:A4)</x:f>
        <x:v>51</x:v>
      </x:c>
      <x:c r="D11" t="s">
        <x:v>49</x:v>
      </x:c>
    </x:row>
    <x:row r="12">
      <x:c r="A12" t="s">
        <x:v>50</x:v>
      </x:c>
      <x:c r="B12" t="s">
        <x:v>51</x:v>
      </x:c>
      <x:c r="C12">
        <x:f>WORKDAY(Schedule!B6,10,Holidays!A2:A4)</x:f>
        <x:v>46336</x:v>
      </x:c>
      <x:c r="D12" t="s">
        <x:v>52</x:v>
      </x:c>
    </x:row>
    <x:row r="13">
      <x:c r="A13" t="s">
        <x:v>53</x:v>
      </x:c>
      <x:c r="B13" t="s">
        <x:v>54</x:v>
      </x:c>
      <x:c r="C13">
        <x:f>WEEKNUM(Schedule!B4,2)</x:f>
        <x:v>38</x:v>
      </x:c>
      <x:c r="D13" t="s">
        <x:v>55</x:v>
      </x:c>
    </x:row>
    <x:row r="14">
      <x:c r="A14" t="s">
        <x:v>56</x:v>
      </x:c>
      <x:c r="B14" t="s">
        <x:v>57</x:v>
      </x:c>
      <x:c r="C14">
        <x:f>ISOWEEKNUM(Schedule!B4)</x:f>
        <x:v>38</x:v>
      </x:c>
      <x:c r="D14" t="s">
        <x:v>58</x:v>
      </x:c>
    </x:row>
    <x:row r="15">
      <x:c r="A15" t="s">
        <x:v>59</x:v>
      </x:c>
      <x:c r="B15" t="s">
        <x:v>60</x:v>
      </x:c>
      <x:c r="C15" s="2">
        <x:f>TIME(8,30,0)</x:f>
        <x:v>0.3541666666666667</x:v>
      </x:c>
      <x:c r="D15" t="s">
        <x:v>61</x:v>
      </x:c>
    </x:row>
    <x:row r="16">
      <x:c r="A16" t="s">
        <x:v>59</x:v>
      </x:c>
      <x:c r="B16" t="s">
        <x:v>62</x:v>
      </x:c>
      <x:c r="C16" t="b">
        <x:f>Timesheet!C2-Timesheet!B2-Timesheet!D2&gt;TIME(8,0,0)</x:f>
        <x:v>0</x:v>
      </x:c>
      <x:c r="D16" t="s">
        <x:v>63</x:v>
      </x:c>
    </x:row>
    <x:row r="17">
      <x:c r="A17" t="s">
        <x:v>64</x:v>
      </x:c>
      <x:c r="B17" t="s">
        <x:v>65</x:v>
      </x:c>
      <x:c r="C17">
        <x:f>HOUR(Timesheet!C2-Timesheet!B2-Timesheet!D2)</x:f>
        <x:v>7</x:v>
      </x:c>
      <x:c r="D17" t="s">
        <x:v>66</x:v>
      </x:c>
    </x:row>
    <x:row r="18">
      <x:c r="A18" t="s">
        <x:v>67</x:v>
      </x:c>
      <x:c r="B18" t="s">
        <x:v>68</x:v>
      </x:c>
      <x:c r="C18">
        <x:f>MINUTE(Timesheet!C2-Timesheet!B2-Timesheet!D2)</x:f>
        <x:v>39</x:v>
      </x:c>
      <x:c r="D18" t="s">
        <x:v>69</x:v>
      </x:c>
    </x:row>
    <x:row r="19">
      <x:c r="A19" t="s">
        <x:v>70</x:v>
      </x:c>
      <x:c r="B19" t="s">
        <x:v>71</x:v>
      </x:c>
      <x:c r="C19">
        <x:f>SECOND(Timesheet!B2)</x:f>
        <x:v>30</x:v>
      </x:c>
      <x:c r="D19" t="s">
        <x:v>72</x:v>
      </x:c>
    </x:row>
    <x:row r="20">
      <x:c r="A20" t="s">
        <x:v>64</x:v>
      </x:c>
      <x:c r="B20" t="s">
        <x:v>73</x:v>
      </x:c>
      <x:c r="C20">
        <x:f>HOUR(Timesheet!B2)</x:f>
        <x:v>8</x:v>
      </x:c>
      <x:c r="D20" t="s">
        <x:v>74</x:v>
      </x:c>
    </x:row>
    <x:row r="21">
      <x:c r="A21" t="s">
        <x:v>75</x:v>
      </x:c>
      <x:c r="B21" t="s">
        <x:v>76</x:v>
      </x:c>
      <x:c r="C21" t="b">
        <x:f>YEAR(TODAY())&gt;=2026</x:f>
        <x:v>1</x:v>
      </x:c>
      <x:c r="D21" t="s">
        <x:v>77</x:v>
      </x:c>
    </x:row>
    <x:row r="22">
      <x:c r="A22" t="s">
        <x:v>78</x:v>
      </x:c>
      <x:c r="B22" t="s">
        <x:v>79</x:v>
      </x:c>
      <x:c r="C22" t="b">
        <x:f>INT(NOW())=TODAY()</x:f>
        <x:v>1</x:v>
      </x:c>
      <x:c r="D22" t="s">
        <x:v>80</x:v>
      </x:c>
    </x:row>
  </x:sheetData>
</x:worksheet>
</file>