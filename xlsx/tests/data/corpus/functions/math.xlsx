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dger" sheetId="1" r:id="rId2"/>
    <x:sheet xmlns:r="http://schemas.openxmlformats.org/officeDocument/2006/relationships" name="Receipts" sheetId="2" r:id="rId3"/>
    <x:sheet xmlns:r="http://schemas.openxmlformats.org/officeDocument/2006/relationships" name="Garden" sheetId="3" r:id="rId4"/>
    <x:sheet xmlns:r="http://schemas.openxmlformats.org/officeDocument/2006/relationships" name="Order" sheetId="4" r:id="rId5"/>
    <x:sheet xmlns:r="http://schemas.openxmlformats.org/officeDocument/2006/relationships" name="Samples" sheetId="5" r:id="rId6"/>
  </x:sheets>
  <x:calcPr calcId="191029" fullCalcOnLoad="0"/>
</x:workbook>
</file>

<file path=xl/sharedStrings.xml><?xml version="1.0" encoding="utf-8"?>
<x:sst xmlns:x="http://schemas.openxmlformats.org/spreadsheetml/2006/main" count="169" uniqueCount="169">
  <x:si>
    <x:t>Date</x:t>
  </x:si>
  <x:si>
    <x:t>Category</x:t>
  </x:si>
  <x:si>
    <x:t>Payee</x:t>
  </x:si>
  <x:si>
    <x:t>Amount</x:t>
  </x:si>
  <x:si>
    <x:t>Account</x:t>
  </x:si>
  <x:si>
    <x:t>Cleared</x:t>
  </x:si>
  <x:si>
    <x:t>Income</x:t>
  </x:si>
  <x:si>
    <x:t>Northwind Payroll</x:t>
  </x:si>
  <x:si>
    <x:t>Checking</x:t>
  </x:si>
  <x:si>
    <x:t>Housing</x:t>
  </x:si>
  <x:si>
    <x:t>Riverside Lettings</x:t>
  </x:si>
  <x:si>
    <x:t>Groceries</x:t>
  </x:si>
  <x:si>
    <x:t>Market Hall</x:t>
  </x:si>
  <x:si>
    <x:t>Card</x:t>
  </x:si>
  <x:si>
    <x:t>Transport</x:t>
  </x:si>
  <x:si>
    <x:t>City Transit</x:t>
  </x:si>
  <x:si>
    <x:t>Corner Bakery</x:t>
  </x:si>
  <x:si>
    <x:t>Cash</x:t>
  </x:si>
  <x:si>
    <x:t>Utilities</x:t>
  </x:si>
  <x:si>
    <x:t>Volt Energy</x:t>
  </x:si>
  <x:si>
    <x:t>Dining</x:t>
  </x:si>
  <x:si>
    <x:t>Trattoria Sole</x:t>
  </x:si>
  <x:si>
    <x:t>Invoice 2026-017</x:t>
  </x:si>
  <x:si>
    <x:t>Fuel Stop</x:t>
  </x:si>
  <x:si>
    <x:t>Aqua Water</x:t>
  </x:si>
  <x:si>
    <x:t>Savings</x:t>
  </x:si>
  <x:si>
    <x:t>Rainy-day fund</x:t>
  </x:si>
  <x:si>
    <x:t>Transfer</x:t>
  </x:si>
  <x:si>
    <x:t>Shop</x:t>
  </x:si>
  <x:si>
    <x:t>Green Grocer</x:t>
  </x:si>
  <x:si>
    <x:t>Item</x:t>
  </x:si>
  <x:si>
    <x:t>Value</x:t>
  </x:si>
  <x:si>
    <x:t>Unit</x:t>
  </x:si>
  <x:si>
    <x:t>Flowerbed radius</x:t>
  </x:si>
  <x:si>
    <x:t>m</x:t>
  </x:si>
  <x:si>
    <x:t>Fence run</x:t>
  </x:si>
  <x:si>
    <x:t>Fence height</x:t>
  </x:si>
  <x:si>
    <x:t>Ramp rise</x:t>
  </x:si>
  <x:si>
    <x:t>Ramp run</x:t>
  </x:si>
  <x:si>
    <x:t>Roof pitch</x:t>
  </x:si>
  <x:si>
    <x:t>degrees</x:t>
  </x:si>
  <x:si>
    <x:t>Rafter length</x:t>
  </x:si>
  <x:si>
    <x:t>Plant varieties for the border</x:t>
  </x:si>
  <x:si>
    <x:t>varieties</x:t>
  </x:si>
  <x:si>
    <x:t>Paving slabs needed</x:t>
  </x:si>
  <x:si>
    <x:t>slabs</x:t>
  </x:si>
  <x:si>
    <x:t>Tiles per box</x:t>
  </x:si>
  <x:si>
    <x:t>tiles</x:t>
  </x:si>
  <x:si>
    <x:t>Tiles needed</x:t>
  </x:si>
  <x:si>
    <x:t>Seedlings planted</x:t>
  </x:si>
  <x:si>
    <x:t>plants</x:t>
  </x:si>
  <x:si>
    <x:t>Monthly growth</x:t>
  </x:si>
  <x:si>
    <x:t>per month</x:t>
  </x:si>
  <x:si>
    <x:t>Soil H⁺ concentration</x:t>
  </x:si>
  <x:si>
    <x:t>mol/L</x:t>
  </x:si>
  <x:si>
    <x:t>Shed, east of the house</x:t>
  </x:si>
  <x:si>
    <x:t>Shed, north of the house</x:t>
  </x:si>
  <x:si>
    <x:t>Quantity</x:t>
  </x:si>
  <x:si>
    <x:t>Unit price</x:t>
  </x:si>
  <x:si>
    <x:t>Topsoil, 40 L bag</x:t>
  </x:si>
  <x:si>
    <x:t>Compost, 50 L bag</x:t>
  </x:si>
  <x:si>
    <x:t>Gravel, 25 kg bag</x:t>
  </x:si>
  <x:si>
    <x:t>Wildflower seed mix</x:t>
  </x:si>
  <x:si>
    <x:t>Lawn edging, per metre</x:t>
  </x:si>
  <x:si>
    <x:t>Function</x:t>
  </x:si>
  <x:si>
    <x:t>Formula</x:t>
  </x:si>
  <x:si>
    <x:t>Result</x:t>
  </x:si>
  <x:si>
    <x:t>What it shows</x:t>
  </x:si>
  <x:si>
    <x:t>SUM</x:t>
  </x:si>
  <x:si>
    <x:t>=SUM(Ledger!D2:D14)</x:t>
  </x:si>
  <x:si>
    <x:t>What the month left over: income less spending</x:t>
  </x:si>
  <x:si>
    <x:t>=SUM(Order!B2:B4)</x:t>
  </x:si>
  <x:si>
    <x:t>Bags to carry home: topsoil, compost and gravel</x:t>
  </x:si>
  <x:si>
    <x:t>SUMIF</x:t>
  </x:si>
  <x:si>
    <x:t>=SUMIF(Ledger!B2:B14,"Groceries",Ledger!D2:D14)</x:t>
  </x:si>
  <x:si>
    <x:t>Spent on groceries</x:t>
  </x:si>
  <x:si>
    <x:t>=SUMIF(Ledger!D2:D14,"&gt;0")</x:t>
  </x:si>
  <x:si>
    <x:t>Income only: every positive amount</x:t>
  </x:si>
  <x:si>
    <x:t>SUMIFS</x:t>
  </x:si>
  <x:si>
    <x:t>=SUMIFS(Ledger!D2:D14,Ledger!B2:B14,"Groceries",Ledger!E2:E14,"Card")</x:t>
  </x:si>
  <x:si>
    <x:t>Groceries paid by card</x:t>
  </x:si>
  <x:si>
    <x:t>=SUMIFS(Ledger!D2:D14,Ledger!A2:A14,"&gt;="&amp;DATE(2026,9,15),Ledger!D2:D14,"&lt;0")</x:t>
  </x:si>
  <x:si>
    <x:t>Spending in the second half of the month</x:t>
  </x:si>
  <x:si>
    <x:t>SUBTOTAL</x:t>
  </x:si>
  <x:si>
    <x:t>=SUBTOTAL(9,Receipts!C2:C9)</x:t>
  </x:si>
  <x:si>
    <x:t>Receipts the filter shows, added up — rows it hides are left out</x:t>
  </x:si>
  <x:si>
    <x:t>=SUBTOTAL(109,Receipts!C2:C9)</x:t>
  </x:si>
  <x:si>
    <x:t>The same, also leaving out the row hidden by hand</x:t>
  </x:si>
  <x:si>
    <x:t>=SUBTOTAL(2,Receipts!C2:C9)</x:t>
  </x:si>
  <x:si>
    <x:t>How many receipts are showing</x:t>
  </x:si>
  <x:si>
    <x:t>=SUBTOTAL(1,Receipts!C2:C9)</x:t>
  </x:si>
  <x:si>
    <x:t>Average of the receipts showing</x:t>
  </x:si>
  <x:si>
    <x:t>SUMPRODUCT</x:t>
  </x:si>
  <x:si>
    <x:t>=SUMPRODUCT(Order!B2:B6,Order!C2:C6)</x:t>
  </x:si>
  <x:si>
    <x:t>The order's total: each quantity times its price</x:t>
  </x:si>
  <x:si>
    <x:t>=SUMPRODUCT((Ledger!B2:B14="Groceries")*(Ledger!E2:E14="Card"),Ledger!D2:D14)</x:t>
  </x:si>
  <x:si>
    <x:t>Groceries by card, as it was written before SUMIFS</x:t>
  </x:si>
  <x:si>
    <x:t>PRODUCT</x:t>
  </x:si>
  <x:si>
    <x:t>=PRODUCT(Garden!B3,Garden!B4)</x:t>
  </x:si>
  <x:si>
    <x:t>Area of the fence, to buy stain for</x:t>
  </x:si>
  <x:si>
    <x:t>ABS</x:t>
  </x:si>
  <x:si>
    <x:t>=ABS(SUMIF(Ledger!D2:D14,"&lt;0"))</x:t>
  </x:si>
  <x:si>
    <x:t>Total spending, as a positive figure</x:t>
  </x:si>
  <x:si>
    <x:t>SIGN</x:t>
  </x:si>
  <x:si>
    <x:t>=SIGN(SUM(Ledger!D2:D14))</x:t>
  </x:si>
  <x:si>
    <x:t>1 if the month ended in surplus, -1 in deficit</x:t>
  </x:si>
  <x:si>
    <x:t>QUOTIENT</x:t>
  </x:si>
  <x:si>
    <x:t>=QUOTIENT(Garden!B12,Garden!B11)</x:t>
  </x:si>
  <x:si>
    <x:t>Full boxes of tiles</x:t>
  </x:si>
  <x:si>
    <x:t>MOD</x:t>
  </x:si>
  <x:si>
    <x:t>=MOD(Garden!B12,Garden!B11)</x:t>
  </x:si>
  <x:si>
    <x:t>Tiles needed beyond the full boxes</x:t>
  </x:si>
  <x:si>
    <x:t>POWER</x:t>
  </x:si>
  <x:si>
    <x:t>=Garden!B13*POWER(1+Garden!B14,6)</x:t>
  </x:si>
  <x:si>
    <x:t>Plants after six months of 12% monthly growth</x:t>
  </x:si>
  <x:si>
    <x:t>SQRT</x:t>
  </x:si>
  <x:si>
    <x:t>=SQRT(Garden!B5^2+Garden!B6^2)</x:t>
  </x:si>
  <x:si>
    <x:t>Length of the ramp's surface</x:t>
  </x:si>
  <x:si>
    <x:t>EXP</x:t>
  </x:si>
  <x:si>
    <x:t>=Garden!B13*EXP(Garden!B14*6)</x:t>
  </x:si>
  <x:si>
    <x:t>The same growth, compounded continuously</x:t>
  </x:si>
  <x:si>
    <x:t>LN</x:t>
  </x:si>
  <x:si>
    <x:t>=LN(2)/Garden!B14</x:t>
  </x:si>
  <x:si>
    <x:t>Months to double, growing continuously</x:t>
  </x:si>
  <x:si>
    <x:t>LOG</x:t>
  </x:si>
  <x:si>
    <x:t>=LOG(2,1+Garden!B14)</x:t>
  </x:si>
  <x:si>
    <x:t>Months to double, growing once a month</x:t>
  </x:si>
  <x:si>
    <x:t>LOG10</x:t>
  </x:si>
  <x:si>
    <x:t>=-LOG10(Garden!B15)</x:t>
  </x:si>
  <x:si>
    <x:t>The soil's pH</x:t>
  </x:si>
  <x:si>
    <x:t>FACT</x:t>
  </x:si>
  <x:si>
    <x:t>=FACT(Garden!B9)</x:t>
  </x:si>
  <x:si>
    <x:t>Orders in which six varieties can be planted along the border</x:t>
  </x:si>
  <x:si>
    <x:t>EVEN</x:t>
  </x:si>
  <x:si>
    <x:t>=EVEN(Garden!B10)</x:t>
  </x:si>
  <x:si>
    <x:t>Paving slabs to order when they come in pairs</x:t>
  </x:si>
  <x:si>
    <x:t>ODD</x:t>
  </x:si>
  <x:si>
    <x:t>=ODD(Garden!B3/2)</x:t>
  </x:si>
  <x:si>
    <x:t>Fence posts, two metres apart, an odd count so the gate is central</x:t>
  </x:si>
  <x:si>
    <x:t>PI</x:t>
  </x:si>
  <x:si>
    <x:t>=PI()*Garden!B2^2</x:t>
  </x:si>
  <x:si>
    <x:t>Area of the round flowerbed</x:t>
  </x:si>
  <x:si>
    <x:t>RADIANS</x:t>
  </x:si>
  <x:si>
    <x:t>=RADIANS(Garden!B7)</x:t>
  </x:si>
  <x:si>
    <x:t>The roof pitch in radians</x:t>
  </x:si>
  <x:si>
    <x:t>SIN</x:t>
  </x:si>
  <x:si>
    <x:t>=Garden!B8*SIN(RADIANS(Garden!B7))</x:t>
  </x:si>
  <x:si>
    <x:t>Height a rafter rises</x:t>
  </x:si>
  <x:si>
    <x:t>COS</x:t>
  </x:si>
  <x:si>
    <x:t>=Garden!B8*COS(RADIANS(Garden!B7))</x:t>
  </x:si>
  <x:si>
    <x:t>Width a rafter spans</x:t>
  </x:si>
  <x:si>
    <x:t>TAN</x:t>
  </x:si>
  <x:si>
    <x:t>=TAN(RADIANS(Garden!B7))</x:t>
  </x:si>
  <x:si>
    <x:t>Rise of the roof per metre of run</x:t>
  </x:si>
  <x:si>
    <x:t>ATAN</x:t>
  </x:si>
  <x:si>
    <x:t>=ATAN(Garden!B5/Garden!B6)</x:t>
  </x:si>
  <x:si>
    <x:t>The ramp's slope, in radians</x:t>
  </x:si>
  <x:si>
    <x:t>DEGREES</x:t>
  </x:si>
  <x:si>
    <x:t>=DEGREES(ATAN(Garden!B5/Garden!B6))</x:t>
  </x:si>
  <x:si>
    <x:t>The ramp's slope, in degrees</x:t>
  </x:si>
  <x:si>
    <x:t>ASIN</x:t>
  </x:si>
  <x:si>
    <x:t>=DEGREES(ASIN(Garden!B5/SQRT(Garden!B5^2+Garden!B6^2)))</x:t>
  </x:si>
  <x:si>
    <x:t>The same slope, from the rise and the surface length</x:t>
  </x:si>
  <x:si>
    <x:t>ACOS</x:t>
  </x:si>
  <x:si>
    <x:t>=DEGREES(ACOS(Garden!B6/SQRT(Garden!B5^2+Garden!B6^2)))</x:t>
  </x:si>
  <x:si>
    <x:t>The same slope, from the run and the surface length</x:t>
  </x:si>
  <x:si>
    <x:t>ATAN2</x:t>
  </x:si>
  <x:si>
    <x:t>=DEGREES(ATAN2(Garden!B16,Garden!B17))</x:t>
  </x:si>
  <x:si>
    <x:t>Bearing of the shed above due east — ATAN2 takes x first</x:t>
  </x:si>
</x:sst>
</file>

<file path=xl/styles.xml><?xml version="1.0" encoding="utf-8"?>
<x:styleSheet xmlns:x="http://schemas.openxmlformats.org/spreadsheetml/2006/main">
  <x:numFmts count="2">
    <x:numFmt numFmtId="164" formatCode="yyyy-mm-dd"/>
    <x:numFmt numFmtId="165" formatCode="hh:mm:ss"/>
  </x:numFmts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3">
    <x:xf fontId="0" fillId="0" borderId="0" xfId="0"/>
    <x:xf numFmtId="164" xfId="0" applyNumberFormat="1"/>
    <x:xf numFmtId="165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styles" Target="/xl/styles.xml" Id="rId7" /><Relationship Type="http://schemas.openxmlformats.org/officeDocument/2006/relationships/sharedStrings" Target="/xl/sharedStrings.xml" Id="rId8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</x:row>
    <x:row r="2">
      <x:c r="A2" s="1">
        <x:v>46266</x:v>
      </x:c>
      <x:c r="B2" t="s">
        <x:v>6</x:v>
      </x:c>
      <x:c r="C2" t="s">
        <x:v>7</x:v>
      </x:c>
      <x:c r="D2">
        <x:v>3250</x:v>
      </x:c>
      <x:c r="E2" t="s">
        <x:v>8</x:v>
      </x:c>
      <x:c r="F2" t="b">
        <x:v>1</x:v>
      </x:c>
    </x:row>
    <x:row r="3">
      <x:c r="A3" s="1">
        <x:v>46266</x:v>
      </x:c>
      <x:c r="B3" t="s">
        <x:v>9</x:v>
      </x:c>
      <x:c r="C3" t="s">
        <x:v>10</x:v>
      </x:c>
      <x:c r="D3">
        <x:v>-1180</x:v>
      </x:c>
      <x:c r="E3" t="s">
        <x:v>8</x:v>
      </x:c>
      <x:c r="F3" t="b">
        <x:v>1</x:v>
      </x:c>
    </x:row>
    <x:row r="4">
      <x:c r="A4" s="1">
        <x:v>46268</x:v>
      </x:c>
      <x:c r="B4" t="s">
        <x:v>11</x:v>
      </x:c>
      <x:c r="C4" t="s">
        <x:v>12</x:v>
      </x:c>
      <x:c r="D4">
        <x:v>-86.4</x:v>
      </x:c>
      <x:c r="E4" t="s">
        <x:v>13</x:v>
      </x:c>
      <x:c r="F4" t="b">
        <x:v>1</x:v>
      </x:c>
    </x:row>
    <x:row r="5">
      <x:c r="A5" s="1">
        <x:v>46270</x:v>
      </x:c>
      <x:c r="B5" t="s">
        <x:v>14</x:v>
      </x:c>
      <x:c r="C5" t="s">
        <x:v>15</x:v>
      </x:c>
      <x:c r="D5">
        <x:v>-49</x:v>
      </x:c>
      <x:c r="E5" t="s">
        <x:v>13</x:v>
      </x:c>
      <x:c r="F5" t="b">
        <x:v>1</x:v>
      </x:c>
    </x:row>
    <x:row r="6">
      <x:c r="A6" s="1">
        <x:v>46273</x:v>
      </x:c>
      <x:c r="B6" t="s">
        <x:v>11</x:v>
      </x:c>
      <x:c r="C6" t="s">
        <x:v>16</x:v>
      </x:c>
      <x:c r="D6">
        <x:v>-12.75</x:v>
      </x:c>
      <x:c r="E6" t="s">
        <x:v>17</x:v>
      </x:c>
      <x:c r="F6" t="b">
        <x:v>1</x:v>
      </x:c>
    </x:row>
    <x:row r="7">
      <x:c r="A7" s="1">
        <x:v>46275</x:v>
      </x:c>
      <x:c r="B7" t="s">
        <x:v>18</x:v>
      </x:c>
      <x:c r="C7" t="s">
        <x:v>19</x:v>
      </x:c>
      <x:c r="D7">
        <x:v>-94.3</x:v>
      </x:c>
      <x:c r="E7" t="s">
        <x:v>8</x:v>
      </x:c>
      <x:c r="F7" t="b">
        <x:v>1</x:v>
      </x:c>
    </x:row>
    <x:row r="8">
      <x:c r="A8" s="1">
        <x:v>46277</x:v>
      </x:c>
      <x:c r="B8" t="s">
        <x:v>20</x:v>
      </x:c>
      <x:c r="C8" t="s">
        <x:v>21</x:v>
      </x:c>
      <x:c r="D8">
        <x:v>-58.2</x:v>
      </x:c>
      <x:c r="E8" t="s">
        <x:v>13</x:v>
      </x:c>
      <x:c r="F8" t="b">
        <x:v>1</x:v>
      </x:c>
    </x:row>
    <x:row r="9">
      <x:c r="A9" s="1">
        <x:v>46280</x:v>
      </x:c>
      <x:c r="B9" t="s">
        <x:v>11</x:v>
      </x:c>
      <x:c r="C9" t="s">
        <x:v>12</x:v>
      </x:c>
      <x:c r="D9">
        <x:v>-102.15</x:v>
      </x:c>
      <x:c r="E9" t="s">
        <x:v>13</x:v>
      </x:c>
      <x:c r="F9" t="b">
        <x:v>1</x:v>
      </x:c>
    </x:row>
    <x:row r="10">
      <x:c r="A10" s="1">
        <x:v>46283</x:v>
      </x:c>
      <x:c r="B10" t="s">
        <x:v>6</x:v>
      </x:c>
      <x:c r="C10" t="s">
        <x:v>22</x:v>
      </x:c>
      <x:c r="D10">
        <x:v>640</x:v>
      </x:c>
      <x:c r="E10" t="s">
        <x:v>8</x:v>
      </x:c>
      <x:c r="F10" t="b">
        <x:v>0</x:v>
      </x:c>
    </x:row>
    <x:row r="11">
      <x:c r="A11" s="1">
        <x:v>46285</x:v>
      </x:c>
      <x:c r="B11" t="s">
        <x:v>14</x:v>
      </x:c>
      <x:c r="C11" t="s">
        <x:v>23</x:v>
      </x:c>
      <x:c r="D11">
        <x:v>-61.8</x:v>
      </x:c>
      <x:c r="E11" t="s">
        <x:v>13</x:v>
      </x:c>
      <x:c r="F11" t="b">
        <x:v>1</x:v>
      </x:c>
    </x:row>
    <x:row r="12">
      <x:c r="A12" s="1">
        <x:v>46289</x:v>
      </x:c>
      <x:c r="B12" t="s">
        <x:v>18</x:v>
      </x:c>
      <x:c r="C12" t="s">
        <x:v>24</x:v>
      </x:c>
      <x:c r="D12">
        <x:v>-38.6</x:v>
      </x:c>
      <x:c r="E12" t="s">
        <x:v>8</x:v>
      </x:c>
      <x:c r="F12" t="b">
        <x:v>0</x:v>
      </x:c>
    </x:row>
    <x:row r="13">
      <x:c r="A13" s="1">
        <x:v>46292</x:v>
      </x:c>
      <x:c r="B13" t="s">
        <x:v>11</x:v>
      </x:c>
      <x:c r="C13" t="s">
        <x:v>12</x:v>
      </x:c>
      <x:c r="D13">
        <x:v>-74.95</x:v>
      </x:c>
      <x:c r="E13" t="s">
        <x:v>13</x:v>
      </x:c>
      <x:c r="F13" t="b">
        <x:v>1</x:v>
      </x:c>
    </x:row>
    <x:row r="14">
      <x:c r="A14" s="1">
        <x:v>46295</x:v>
      </x:c>
      <x:c r="B14" t="s">
        <x:v>25</x:v>
      </x:c>
      <x:c r="C14" t="s">
        <x:v>26</x:v>
      </x:c>
      <x:c r="D14">
        <x:v>-400</x:v>
      </x:c>
      <x:c r="E14" t="s">
        <x:v>27</x:v>
      </x:c>
      <x:c r="F14" t="b">
        <x:v>1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">
        <x:v>0</x:v>
      </x:c>
      <x:c r="B1" t="s">
        <x:v>28</x:v>
      </x:c>
      <x:c r="C1" t="s">
        <x:v>3</x:v>
      </x:c>
    </x:row>
    <x:row r="2">
      <x:c r="A2" s="1">
        <x:v>46268</x:v>
      </x:c>
      <x:c r="B2" t="s">
        <x:v>12</x:v>
      </x:c>
      <x:c r="C2">
        <x:v>86.4</x:v>
      </x:c>
    </x:row>
    <x:row r="3" hidden="1">
      <x:c r="A3" s="1">
        <x:v>46273</x:v>
      </x:c>
      <x:c r="B3" t="s">
        <x:v>16</x:v>
      </x:c>
      <x:c r="C3">
        <x:v>12.75</x:v>
      </x:c>
    </x:row>
    <x:row r="4">
      <x:c r="A4" s="1">
        <x:v>46280</x:v>
      </x:c>
      <x:c r="B4" t="s">
        <x:v>12</x:v>
      </x:c>
      <x:c r="C4">
        <x:v>102.15</x:v>
      </x:c>
    </x:row>
    <x:row r="5" hidden="1">
      <x:c r="A5" s="1">
        <x:v>46284</x:v>
      </x:c>
      <x:c r="B5" t="s">
        <x:v>16</x:v>
      </x:c>
      <x:c r="C5">
        <x:v>9.3</x:v>
      </x:c>
    </x:row>
    <x:row r="6">
      <x:c r="A6" s="1">
        <x:v>46287</x:v>
      </x:c>
      <x:c r="B6" t="s">
        <x:v>29</x:v>
      </x:c>
      <x:c r="C6">
        <x:v>23.6</x:v>
      </x:c>
    </x:row>
    <x:row r="7">
      <x:c r="A7" s="1">
        <x:v>46292</x:v>
      </x:c>
      <x:c r="B7" t="s">
        <x:v>12</x:v>
      </x:c>
      <x:c r="C7">
        <x:v>74.95</x:v>
      </x:c>
    </x:row>
    <x:row r="8" hidden="1">
      <x:c r="A8" s="1">
        <x:v>46294</x:v>
      </x:c>
      <x:c r="B8" t="s">
        <x:v>29</x:v>
      </x:c>
      <x:c r="C8">
        <x:v>18.2</x:v>
      </x:c>
    </x:row>
    <x:row r="9" hidden="1">
      <x:c r="A9" s="1">
        <x:v>46295</x:v>
      </x:c>
      <x:c r="B9" t="s">
        <x:v>16</x:v>
      </x:c>
      <x:c r="C9">
        <x:v>6.1</x:v>
      </x:c>
    </x:row>
  </x:sheetData>
  <x:autoFilter ref="A1:C9">
    <x:filterColumn colId="1">
      <x:filters>
        <x:filter val="Green Grocer"/>
        <x:filter val="Market Hall"/>
      </x:filters>
    </x:filterColumn>
  </x:autoFilter>
</x:worksheet>
</file>

<file path=xl/worksheets/sheet3.xml><?xml version="1.0" encoding="utf-8"?>
<x:worksheet xmlns:x="http://schemas.openxmlformats.org/spreadsheetml/2006/main">
  <x:sheetData>
    <x:row r="1">
      <x:c r="A1" t="s">
        <x:v>30</x:v>
      </x:c>
      <x:c r="B1" t="s">
        <x:v>31</x:v>
      </x:c>
      <x:c r="C1" t="s">
        <x:v>32</x:v>
      </x:c>
    </x:row>
    <x:row r="2">
      <x:c r="A2" t="s">
        <x:v>33</x:v>
      </x:c>
      <x:c r="B2">
        <x:v>1.8</x:v>
      </x:c>
      <x:c r="C2" t="s">
        <x:v>34</x:v>
      </x:c>
    </x:row>
    <x:row r="3">
      <x:c r="A3" t="s">
        <x:v>35</x:v>
      </x:c>
      <x:c r="B3">
        <x:v>12.5</x:v>
      </x:c>
      <x:c r="C3" t="s">
        <x:v>34</x:v>
      </x:c>
    </x:row>
    <x:row r="4">
      <x:c r="A4" t="s">
        <x:v>36</x:v>
      </x:c>
      <x:c r="B4">
        <x:v>1.6</x:v>
      </x:c>
      <x:c r="C4" t="s">
        <x:v>34</x:v>
      </x:c>
    </x:row>
    <x:row r="5">
      <x:c r="A5" t="s">
        <x:v>37</x:v>
      </x:c>
      <x:c r="B5">
        <x:v>0.45</x:v>
      </x:c>
      <x:c r="C5" t="s">
        <x:v>34</x:v>
      </x:c>
    </x:row>
    <x:row r="6">
      <x:c r="A6" t="s">
        <x:v>38</x:v>
      </x:c>
      <x:c r="B6">
        <x:v>5.4</x:v>
      </x:c>
      <x:c r="C6" t="s">
        <x:v>34</x:v>
      </x:c>
    </x:row>
    <x:row r="7">
      <x:c r="A7" t="s">
        <x:v>39</x:v>
      </x:c>
      <x:c r="B7">
        <x:v>35</x:v>
      </x:c>
      <x:c r="C7" t="s">
        <x:v>40</x:v>
      </x:c>
    </x:row>
    <x:row r="8">
      <x:c r="A8" t="s">
        <x:v>41</x:v>
      </x:c>
      <x:c r="B8">
        <x:v>4.2</x:v>
      </x:c>
      <x:c r="C8" t="s">
        <x:v>34</x:v>
      </x:c>
    </x:row>
    <x:row r="9">
      <x:c r="A9" t="s">
        <x:v>42</x:v>
      </x:c>
      <x:c r="B9">
        <x:v>6</x:v>
      </x:c>
      <x:c r="C9" t="s">
        <x:v>43</x:v>
      </x:c>
    </x:row>
    <x:row r="10">
      <x:c r="A10" t="s">
        <x:v>44</x:v>
      </x:c>
      <x:c r="B10">
        <x:v>47</x:v>
      </x:c>
      <x:c r="C10" t="s">
        <x:v>45</x:v>
      </x:c>
    </x:row>
    <x:row r="11">
      <x:c r="A11" t="s">
        <x:v>46</x:v>
      </x:c>
      <x:c r="B11">
        <x:v>12</x:v>
      </x:c>
      <x:c r="C11" t="s">
        <x:v>47</x:v>
      </x:c>
    </x:row>
    <x:row r="12">
      <x:c r="A12" t="s">
        <x:v>48</x:v>
      </x:c>
      <x:c r="B12">
        <x:v>130</x:v>
      </x:c>
      <x:c r="C12" t="s">
        <x:v>47</x:v>
      </x:c>
    </x:row>
    <x:row r="13">
      <x:c r="A13" t="s">
        <x:v>49</x:v>
      </x:c>
      <x:c r="B13">
        <x:v>40</x:v>
      </x:c>
      <x:c r="C13" t="s">
        <x:v>50</x:v>
      </x:c>
    </x:row>
    <x:row r="14">
      <x:c r="A14" t="s">
        <x:v>51</x:v>
      </x:c>
      <x:c r="B14">
        <x:v>0.12</x:v>
      </x:c>
      <x:c r="C14" t="s">
        <x:v>52</x:v>
      </x:c>
    </x:row>
    <x:row r="15">
      <x:c r="A15" t="s">
        <x:v>53</x:v>
      </x:c>
      <x:c r="B15">
        <x:v>3.2E-07</x:v>
      </x:c>
      <x:c r="C15" t="s">
        <x:v>54</x:v>
      </x:c>
    </x:row>
    <x:row r="16">
      <x:c r="A16" t="s">
        <x:v>55</x:v>
      </x:c>
      <x:c r="B16">
        <x:v>8</x:v>
      </x:c>
      <x:c r="C16" t="s">
        <x:v>34</x:v>
      </x:c>
    </x:row>
    <x:row r="17">
      <x:c r="A17" t="s">
        <x:v>56</x:v>
      </x:c>
      <x:c r="B17">
        <x:v>6</x:v>
      </x:c>
      <x:c r="C17" t="s">
        <x:v>34</x:v>
      </x:c>
    </x:row>
  </x:sheetData>
</x:worksheet>
</file>

<file path=xl/worksheets/sheet4.xml><?xml version="1.0" encoding="utf-8"?>
<x:worksheet xmlns:x="http://schemas.openxmlformats.org/spreadsheetml/2006/main">
  <x:sheetData>
    <x:row r="1">
      <x:c r="A1" t="s">
        <x:v>30</x:v>
      </x:c>
      <x:c r="B1" t="s">
        <x:v>57</x:v>
      </x:c>
      <x:c r="C1" t="s">
        <x:v>58</x:v>
      </x:c>
    </x:row>
    <x:row r="2">
      <x:c r="A2" t="s">
        <x:v>59</x:v>
      </x:c>
      <x:c r="B2">
        <x:v>6</x:v>
      </x:c>
      <x:c r="C2">
        <x:v>7.49</x:v>
      </x:c>
    </x:row>
    <x:row r="3">
      <x:c r="A3" t="s">
        <x:v>60</x:v>
      </x:c>
      <x:c r="B3">
        <x:v>4</x:v>
      </x:c>
      <x:c r="C3">
        <x:v>5.99</x:v>
      </x:c>
    </x:row>
    <x:row r="4">
      <x:c r="A4" t="s">
        <x:v>61</x:v>
      </x:c>
      <x:c r="B4">
        <x:v>10</x:v>
      </x:c>
      <x:c r="C4">
        <x:v>3.25</x:v>
      </x:c>
    </x:row>
    <x:row r="5">
      <x:c r="A5" t="s">
        <x:v>62</x:v>
      </x:c>
      <x:c r="B5">
        <x:v>3</x:v>
      </x:c>
      <x:c r="C5">
        <x:v>4.5</x:v>
      </x:c>
    </x:row>
    <x:row r="6">
      <x:c r="A6" t="s">
        <x:v>63</x:v>
      </x:c>
      <x:c r="B6">
        <x:v>12</x:v>
      </x:c>
      <x:c r="C6">
        <x:v>2.8</x:v>
      </x:c>
    </x:row>
  </x:sheetData>
</x:worksheet>
</file>

<file path=xl/worksheets/sheet5.xml><?xml version="1.0" encoding="utf-8"?>
<x:worksheet xmlns:x="http://schemas.openxmlformats.org/spreadsheetml/2006/main">
  <x:sheetData>
    <x:row r="1">
      <x:c r="A1" t="s">
        <x:v>64</x:v>
      </x:c>
      <x:c r="B1" t="s">
        <x:v>65</x:v>
      </x:c>
      <x:c r="C1" t="s">
        <x:v>66</x:v>
      </x:c>
      <x:c r="D1" t="s">
        <x:v>67</x:v>
      </x:c>
    </x:row>
    <x:row r="2">
      <x:c r="A2" t="s">
        <x:v>68</x:v>
      </x:c>
      <x:c r="B2" t="s">
        <x:v>69</x:v>
      </x:c>
      <x:c r="C2">
        <x:f>SUM(Ledger!D2:D14)</x:f>
        <x:v>1731.85</x:v>
      </x:c>
      <x:c r="D2" t="s">
        <x:v>70</x:v>
      </x:c>
    </x:row>
    <x:row r="3">
      <x:c r="A3" t="s">
        <x:v>68</x:v>
      </x:c>
      <x:c r="B3" t="s">
        <x:v>71</x:v>
      </x:c>
      <x:c r="C3">
        <x:f>SUM(Order!B2:B4)</x:f>
        <x:v>20</x:v>
      </x:c>
      <x:c r="D3" t="s">
        <x:v>72</x:v>
      </x:c>
    </x:row>
    <x:row r="4">
      <x:c r="A4" t="s">
        <x:v>73</x:v>
      </x:c>
      <x:c r="B4" t="s">
        <x:v>74</x:v>
      </x:c>
      <x:c r="C4">
        <x:f>SUMIF(Ledger!B2:B14,"Groceries",Ledger!D2:D14)</x:f>
        <x:v>-276.25</x:v>
      </x:c>
      <x:c r="D4" t="s">
        <x:v>75</x:v>
      </x:c>
    </x:row>
    <x:row r="5">
      <x:c r="A5" t="s">
        <x:v>73</x:v>
      </x:c>
      <x:c r="B5" t="s">
        <x:v>76</x:v>
      </x:c>
      <x:c r="C5">
        <x:f>SUMIF(Ledger!D2:D14,"&gt;0")</x:f>
        <x:v>3890</x:v>
      </x:c>
      <x:c r="D5" t="s">
        <x:v>77</x:v>
      </x:c>
    </x:row>
    <x:row r="6">
      <x:c r="A6" t="s">
        <x:v>78</x:v>
      </x:c>
      <x:c r="B6" t="s">
        <x:v>79</x:v>
      </x:c>
      <x:c r="C6">
        <x:f>SUMIFS(Ledger!D2:D14,Ledger!B2:B14,"Groceries",Ledger!E2:E14,"Card")</x:f>
        <x:v>-263.5</x:v>
      </x:c>
      <x:c r="D6" t="s">
        <x:v>80</x:v>
      </x:c>
    </x:row>
    <x:row r="7">
      <x:c r="A7" t="s">
        <x:v>78</x:v>
      </x:c>
      <x:c r="B7" t="s">
        <x:v>81</x:v>
      </x:c>
      <x:c r="C7">
        <x:f>SUMIFS(Ledger!D2:D14,Ledger!A2:A14,"&gt;="&amp;DATE(2026,9,15),Ledger!D2:D14,"&lt;0")</x:f>
        <x:v>-677.5</x:v>
      </x:c>
      <x:c r="D7" t="s">
        <x:v>82</x:v>
      </x:c>
    </x:row>
    <x:row r="8">
      <x:c r="A8" t="s">
        <x:v>83</x:v>
      </x:c>
      <x:c r="B8" t="s">
        <x:v>84</x:v>
      </x:c>
      <x:c r="C8">
        <x:f>SUBTOTAL(9,Receipts!C2:C9)</x:f>
        <x:v>305.3</x:v>
      </x:c>
      <x:c r="D8" t="s">
        <x:v>85</x:v>
      </x:c>
    </x:row>
    <x:row r="9">
      <x:c r="A9" t="s">
        <x:v>83</x:v>
      </x:c>
      <x:c r="B9" t="s">
        <x:v>86</x:v>
      </x:c>
      <x:c r="C9">
        <x:f>SUBTOTAL(109,Receipts!C2:C9)</x:f>
        <x:v>287.1</x:v>
      </x:c>
      <x:c r="D9" t="s">
        <x:v>87</x:v>
      </x:c>
    </x:row>
    <x:row r="10">
      <x:c r="A10" t="s">
        <x:v>83</x:v>
      </x:c>
      <x:c r="B10" t="s">
        <x:v>88</x:v>
      </x:c>
      <x:c r="C10">
        <x:f>SUBTOTAL(2,Receipts!C2:C9)</x:f>
        <x:v>5</x:v>
      </x:c>
      <x:c r="D10" t="s">
        <x:v>89</x:v>
      </x:c>
    </x:row>
    <x:row r="11">
      <x:c r="A11" t="s">
        <x:v>83</x:v>
      </x:c>
      <x:c r="B11" t="s">
        <x:v>90</x:v>
      </x:c>
      <x:c r="C11">
        <x:f>SUBTOTAL(1,Receipts!C2:C9)</x:f>
        <x:v>61.06</x:v>
      </x:c>
      <x:c r="D11" t="s">
        <x:v>91</x:v>
      </x:c>
    </x:row>
    <x:row r="12">
      <x:c r="A12" t="s">
        <x:v>92</x:v>
      </x:c>
      <x:c r="B12" t="s">
        <x:v>93</x:v>
      </x:c>
      <x:c r="C12">
        <x:f>SUMPRODUCT(Order!B2:B6,Order!C2:C6)</x:f>
        <x:v>148.5</x:v>
      </x:c>
      <x:c r="D12" t="s">
        <x:v>94</x:v>
      </x:c>
    </x:row>
    <x:row r="13">
      <x:c r="A13" t="s">
        <x:v>92</x:v>
      </x:c>
      <x:c r="B13" t="s">
        <x:v>95</x:v>
      </x:c>
      <x:c r="C13">
        <x:f>SUMPRODUCT((Ledger!B2:B14="Groceries")*(Ledger!E2:E14="Card"),Ledger!D2:D14)</x:f>
        <x:v>-263.5</x:v>
      </x:c>
      <x:c r="D13" t="s">
        <x:v>96</x:v>
      </x:c>
    </x:row>
    <x:row r="14">
      <x:c r="A14" t="s">
        <x:v>97</x:v>
      </x:c>
      <x:c r="B14" t="s">
        <x:v>98</x:v>
      </x:c>
      <x:c r="C14">
        <x:f>PRODUCT(Garden!B3,Garden!B4)</x:f>
        <x:v>20</x:v>
      </x:c>
      <x:c r="D14" t="s">
        <x:v>99</x:v>
      </x:c>
    </x:row>
    <x:row r="15">
      <x:c r="A15" t="s">
        <x:v>100</x:v>
      </x:c>
      <x:c r="B15" t="s">
        <x:v>101</x:v>
      </x:c>
      <x:c r="C15">
        <x:f>ABS(SUMIF(Ledger!D2:D14,"&lt;0"))</x:f>
        <x:v>2158.15</x:v>
      </x:c>
      <x:c r="D15" t="s">
        <x:v>102</x:v>
      </x:c>
    </x:row>
    <x:row r="16">
      <x:c r="A16" t="s">
        <x:v>103</x:v>
      </x:c>
      <x:c r="B16" t="s">
        <x:v>104</x:v>
      </x:c>
      <x:c r="C16">
        <x:f>SIGN(SUM(Ledger!D2:D14))</x:f>
        <x:v>1</x:v>
      </x:c>
      <x:c r="D16" t="s">
        <x:v>105</x:v>
      </x:c>
    </x:row>
    <x:row r="17">
      <x:c r="A17" t="s">
        <x:v>106</x:v>
      </x:c>
      <x:c r="B17" t="s">
        <x:v>107</x:v>
      </x:c>
      <x:c r="C17">
        <x:f>QUOTIENT(Garden!B12,Garden!B11)</x:f>
        <x:v>10</x:v>
      </x:c>
      <x:c r="D17" t="s">
        <x:v>108</x:v>
      </x:c>
    </x:row>
    <x:row r="18">
      <x:c r="A18" t="s">
        <x:v>109</x:v>
      </x:c>
      <x:c r="B18" t="s">
        <x:v>110</x:v>
      </x:c>
      <x:c r="C18">
        <x:f>MOD(Garden!B12,Garden!B11)</x:f>
        <x:v>10</x:v>
      </x:c>
      <x:c r="D18" t="s">
        <x:v>111</x:v>
      </x:c>
    </x:row>
    <x:row r="19">
      <x:c r="A19" t="s">
        <x:v>112</x:v>
      </x:c>
      <x:c r="B19" t="s">
        <x:v>113</x:v>
      </x:c>
      <x:c r="C19">
        <x:f>Garden!B13*POWER(1+Garden!B14,6)</x:f>
        <x:v>78.95290740736</x:v>
      </x:c>
      <x:c r="D19" t="s">
        <x:v>114</x:v>
      </x:c>
    </x:row>
    <x:row r="20">
      <x:c r="A20" t="s">
        <x:v>115</x:v>
      </x:c>
      <x:c r="B20" t="s">
        <x:v>116</x:v>
      </x:c>
      <x:c r="C20">
        <x:f>SQRT(Garden!B5^2+Garden!B6^2)</x:f>
        <x:v>5.41871756045653</x:v>
      </x:c>
      <x:c r="D20" t="s">
        <x:v>117</x:v>
      </x:c>
    </x:row>
    <x:row r="21">
      <x:c r="A21" t="s">
        <x:v>118</x:v>
      </x:c>
      <x:c r="B21" t="s">
        <x:v>119</x:v>
      </x:c>
      <x:c r="C21">
        <x:f>Garden!B13*EXP(Garden!B14*6)</x:f>
        <x:v>82.1773284257555</x:v>
      </x:c>
      <x:c r="D21" t="s">
        <x:v>120</x:v>
      </x:c>
    </x:row>
    <x:row r="22">
      <x:c r="A22" t="s">
        <x:v>121</x:v>
      </x:c>
      <x:c r="B22" t="s">
        <x:v>122</x:v>
      </x:c>
      <x:c r="C22">
        <x:f>LN(2)/Garden!B14</x:f>
        <x:v>5.77622650466621</x:v>
      </x:c>
      <x:c r="D22" t="s">
        <x:v>123</x:v>
      </x:c>
    </x:row>
    <x:row r="23">
      <x:c r="A23" t="s">
        <x:v>124</x:v>
      </x:c>
      <x:c r="B23" t="s">
        <x:v>125</x:v>
      </x:c>
      <x:c r="C23">
        <x:f>LOG(2,1+Garden!B14)</x:f>
        <x:v>6.1162553741997</x:v>
      </x:c>
      <x:c r="D23" t="s">
        <x:v>126</x:v>
      </x:c>
    </x:row>
    <x:row r="24">
      <x:c r="A24" t="s">
        <x:v>127</x:v>
      </x:c>
      <x:c r="B24" t="s">
        <x:v>128</x:v>
      </x:c>
      <x:c r="C24">
        <x:f>-LOG10(Garden!B15)</x:f>
        <x:v>6.49485002168009</x:v>
      </x:c>
      <x:c r="D24" t="s">
        <x:v>129</x:v>
      </x:c>
    </x:row>
    <x:row r="25">
      <x:c r="A25" t="s">
        <x:v>130</x:v>
      </x:c>
      <x:c r="B25" t="s">
        <x:v>131</x:v>
      </x:c>
      <x:c r="C25">
        <x:f>FACT(Garden!B9)</x:f>
        <x:v>720</x:v>
      </x:c>
      <x:c r="D25" t="s">
        <x:v>132</x:v>
      </x:c>
    </x:row>
    <x:row r="26">
      <x:c r="A26" t="s">
        <x:v>133</x:v>
      </x:c>
      <x:c r="B26" t="s">
        <x:v>134</x:v>
      </x:c>
      <x:c r="C26">
        <x:f>EVEN(Garden!B10)</x:f>
        <x:v>48</x:v>
      </x:c>
      <x:c r="D26" t="s">
        <x:v>135</x:v>
      </x:c>
    </x:row>
    <x:row r="27">
      <x:c r="A27" t="s">
        <x:v>136</x:v>
      </x:c>
      <x:c r="B27" t="s">
        <x:v>137</x:v>
      </x:c>
      <x:c r="C27">
        <x:f>ODD(Garden!B3/2)</x:f>
        <x:v>7</x:v>
      </x:c>
      <x:c r="D27" t="s">
        <x:v>138</x:v>
      </x:c>
    </x:row>
    <x:row r="28">
      <x:c r="A28" t="s">
        <x:v>139</x:v>
      </x:c>
      <x:c r="B28" t="s">
        <x:v>140</x:v>
      </x:c>
      <x:c r="C28">
        <x:f>PI()*Garden!B2^2</x:f>
        <x:v>10.1787601976309</x:v>
      </x:c>
      <x:c r="D28" t="s">
        <x:v>141</x:v>
      </x:c>
    </x:row>
    <x:row r="29">
      <x:c r="A29" t="s">
        <x:v>142</x:v>
      </x:c>
      <x:c r="B29" t="s">
        <x:v>143</x:v>
      </x:c>
      <x:c r="C29">
        <x:f>RADIANS(Garden!B7)</x:f>
        <x:v>0.610865238198015</x:v>
      </x:c>
      <x:c r="D29" t="s">
        <x:v>144</x:v>
      </x:c>
    </x:row>
    <x:row r="30">
      <x:c r="A30" t="s">
        <x:v>145</x:v>
      </x:c>
      <x:c r="B30" t="s">
        <x:v>146</x:v>
      </x:c>
      <x:c r="C30">
        <x:f>Garden!B8*SIN(RADIANS(Garden!B7))</x:f>
        <x:v>2.40902103267439</x:v>
      </x:c>
      <x:c r="D30" t="s">
        <x:v>147</x:v>
      </x:c>
    </x:row>
    <x:row r="31">
      <x:c r="A31" t="s">
        <x:v>148</x:v>
      </x:c>
      <x:c r="B31" t="s">
        <x:v>149</x:v>
      </x:c>
      <x:c r="C31">
        <x:f>Garden!B8*COS(RADIANS(Garden!B7))</x:f>
        <x:v>3.44043858601377</x:v>
      </x:c>
      <x:c r="D31" t="s">
        <x:v>150</x:v>
      </x:c>
    </x:row>
    <x:row r="32">
      <x:c r="A32" t="s">
        <x:v>151</x:v>
      </x:c>
      <x:c r="B32" t="s">
        <x:v>152</x:v>
      </x:c>
      <x:c r="C32">
        <x:f>TAN(RADIANS(Garden!B7))</x:f>
        <x:v>0.70020753820971</x:v>
      </x:c>
      <x:c r="D32" t="s">
        <x:v>153</x:v>
      </x:c>
    </x:row>
    <x:row r="33">
      <x:c r="A33" t="s">
        <x:v>154</x:v>
      </x:c>
      <x:c r="B33" t="s">
        <x:v>155</x:v>
      </x:c>
      <x:c r="C33">
        <x:f>ATAN(Garden!B5/Garden!B6)</x:f>
        <x:v>0.0831412318884412</x:v>
      </x:c>
      <x:c r="D33" t="s">
        <x:v>156</x:v>
      </x:c>
    </x:row>
    <x:row r="34">
      <x:c r="A34" t="s">
        <x:v>157</x:v>
      </x:c>
      <x:c r="B34" t="s">
        <x:v>158</x:v>
      </x:c>
      <x:c r="C34">
        <x:f>DEGREES(ATAN(Garden!B5/Garden!B6))</x:f>
        <x:v>4.76364169072618</x:v>
      </x:c>
      <x:c r="D34" t="s">
        <x:v>159</x:v>
      </x:c>
    </x:row>
    <x:row r="35">
      <x:c r="A35" t="s">
        <x:v>160</x:v>
      </x:c>
      <x:c r="B35" t="s">
        <x:v>161</x:v>
      </x:c>
      <x:c r="C35">
        <x:f>DEGREES(ASIN(Garden!B5/SQRT(Garden!B5^2+Garden!B6^2)))</x:f>
        <x:v>4.76364169072618</x:v>
      </x:c>
      <x:c r="D35" t="s">
        <x:v>162</x:v>
      </x:c>
    </x:row>
    <x:row r="36">
      <x:c r="A36" t="s">
        <x:v>163</x:v>
      </x:c>
      <x:c r="B36" t="s">
        <x:v>164</x:v>
      </x:c>
      <x:c r="C36">
        <x:f>DEGREES(ACOS(Garden!B6/SQRT(Garden!B5^2+Garden!B6^2)))</x:f>
        <x:v>4.76364169072622</x:v>
      </x:c>
      <x:c r="D36" t="s">
        <x:v>165</x:v>
      </x:c>
    </x:row>
    <x:row r="37">
      <x:c r="A37" t="s">
        <x:v>166</x:v>
      </x:c>
      <x:c r="B37" t="s">
        <x:v>167</x:v>
      </x:c>
      <x:c r="C37">
        <x:f>DEGREES(ATAN2(Garden!B16,Garden!B17))</x:f>
        <x:v>36.869897645844</x:v>
      </x:c>
      <x:c r="D37" t="s">
        <x:v>168</x:v>
      </x:c>
    </x:row>
  </x:sheetData>
</x:worksheet>
</file>