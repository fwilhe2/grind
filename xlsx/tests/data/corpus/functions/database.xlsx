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ff" sheetId="1" r:id="rId2"/>
    <x:sheet xmlns:r="http://schemas.openxmlformats.org/officeDocument/2006/relationships" name="Criteria" sheetId="2" r:id="rId3"/>
    <x:sheet xmlns:r="http://schemas.openxmlformats.org/officeDocument/2006/relationships" name="Samples" sheetId="3" r:id="rId4"/>
  </x:sheets>
  <x:calcPr calcId="191029" fullCalcOnLoad="0"/>
</x:workbook>
</file>

<file path=xl/sharedStrings.xml><?xml version="1.0" encoding="utf-8"?>
<x:sst xmlns:x="http://schemas.openxmlformats.org/spreadsheetml/2006/main" count="64" uniqueCount="64">
  <x:si>
    <x:t>Name</x:t>
  </x:si>
  <x:si>
    <x:t>Department</x:t>
  </x:si>
  <x:si>
    <x:t>Role</x:t>
  </x:si>
  <x:si>
    <x:t>Salary</x:t>
  </x:si>
  <x:si>
    <x:t>Years</x:t>
  </x:si>
  <x:si>
    <x:t>Remote</x:t>
  </x:si>
  <x:si>
    <x:t>Retention</x:t>
  </x:si>
  <x:si>
    <x:t>Alice Brandt</x:t>
  </x:si>
  <x:si>
    <x:t>Engineering</x:t>
  </x:si>
  <x:si>
    <x:t>Developer</x:t>
  </x:si>
  <x:si>
    <x:t>Bilal Haddad</x:t>
  </x:si>
  <x:si>
    <x:t>Lead</x:t>
  </x:si>
  <x:si>
    <x:t>Carmen Ruiz</x:t>
  </x:si>
  <x:si>
    <x:t>Sales</x:t>
  </x:si>
  <x:si>
    <x:t>Account manager</x:t>
  </x:si>
  <x:si>
    <x:t>Dmitri Volkov</x:t>
  </x:si>
  <x:si>
    <x:t>Emma Schulz</x:t>
  </x:si>
  <x:si>
    <x:t>Support</x:t>
  </x:si>
  <x:si>
    <x:t>Agent</x:t>
  </x:si>
  <x:si>
    <x:t>Farah Khan</x:t>
  </x:si>
  <x:si>
    <x:t>Gustav Berg</x:t>
  </x:si>
  <x:si>
    <x:t>Hana Kim</x:t>
  </x:si>
  <x:si>
    <x:t>&gt;5</x:t>
  </x:si>
  <x:si>
    <x:t>Function</x:t>
  </x:si>
  <x:si>
    <x:t>Formula</x:t>
  </x:si>
  <x:si>
    <x:t>Result</x:t>
  </x:si>
  <x:si>
    <x:t>What it shows</x:t>
  </x:si>
  <x:si>
    <x:t>DSUM</x:t>
  </x:si>
  <x:si>
    <x:t>=DSUM(Staff!A1:G9,"Salary",Criteria!A1:A2)</x:t>
  </x:si>
  <x:si>
    <x:t>Engineering's payroll</x:t>
  </x:si>
  <x:si>
    <x:t>DAVERAGE</x:t>
  </x:si>
  <x:si>
    <x:t>=DAVERAGE(Staff!A1:G9,"Salary",Criteria!F1:F2)</x:t>
  </x:si>
  <x:si>
    <x:t>A lead's average salary</x:t>
  </x:si>
  <x:si>
    <x:t>DCOUNT</x:t>
  </x:si>
  <x:si>
    <x:t>=DCOUNT(Staff!A1:G9,"Years",Criteria!C1:D2)</x:t>
  </x:si>
  <x:si>
    <x:t>Sales staff with more than five years</x:t>
  </x:si>
  <x:si>
    <x:t>DCOUNTA</x:t>
  </x:si>
  <x:si>
    <x:t>=DCOUNTA(Staff!A1:G9,"Name",Criteria!J1:J2)</x:t>
  </x:si>
  <x:si>
    <x:t>People working remotely</x:t>
  </x:si>
  <x:si>
    <x:t>DGET</x:t>
  </x:si>
  <x:si>
    <x:t>=DGET(Staff!A1:G9,"Role",Criteria!H1:H2)</x:t>
  </x:si>
  <x:si>
    <x:t>Emma's role</x:t>
  </x:si>
  <x:si>
    <x:t>=DGET(Staff!A1:G9,4,Criteria!H1:H2)</x:t>
  </x:si>
  <x:si>
    <x:t>Her salary, by field number</x:t>
  </x:si>
  <x:si>
    <x:t>DMAX</x:t>
  </x:si>
  <x:si>
    <x:t>=DMAX(Staff!A1:G9,"Salary",Criteria!A1:A2)</x:t>
  </x:si>
  <x:si>
    <x:t>The highest engineering salary</x:t>
  </x:si>
  <x:si>
    <x:t>DMIN</x:t>
  </x:si>
  <x:si>
    <x:t>=DMIN(Staff!A1:G9,"Years",Criteria!F1:F2)</x:t>
  </x:si>
  <x:si>
    <x:t>The newest lead's years of service</x:t>
  </x:si>
  <x:si>
    <x:t>DPRODUCT</x:t>
  </x:si>
  <x:si>
    <x:t>=DPRODUCT(Staff!A1:G9,"Retention",Criteria!A1:A2)</x:t>
  </x:si>
  <x:si>
    <x:t>Chance all of Engineering stays the year: the product of each retention estimate</x:t>
  </x:si>
  <x:si>
    <x:t>DSTDEV</x:t>
  </x:si>
  <x:si>
    <x:t>=DSTDEV(Staff!A1:G9,"Salary",Criteria!C1:C2)</x:t>
  </x:si>
  <x:si>
    <x:t>Spread of sales salaries, as a sample</x:t>
  </x:si>
  <x:si>
    <x:t>DSTDEVP</x:t>
  </x:si>
  <x:si>
    <x:t>=DSTDEVP(Staff!A1:G9,"Salary",Criteria!C1:C2)</x:t>
  </x:si>
  <x:si>
    <x:t>The same, as a population</x:t>
  </x:si>
  <x:si>
    <x:t>DVAR</x:t>
  </x:si>
  <x:si>
    <x:t>=DVAR(Staff!A1:G9,"Salary",Criteria!A1:A2)</x:t>
  </x:si>
  <x:si>
    <x:t>Variance of engineering salaries, as a sample</x:t>
  </x:si>
  <x:si>
    <x:t>DVARP</x:t>
  </x:si>
  <x:si>
    <x:t>=DVARP(Staff!A1:G9,"Salary",Criteria!A1:A2)</x:t>
  </x:si>
</x:sst>
</file>

<file path=xl/styles.xml><?xml version="1.0" encoding="utf-8"?>
<x:styleSheet xmlns:x="http://schemas.openxmlformats.org/spreadsheetml/2006/main">
  <x:numFmts count="2">
    <x:numFmt numFmtId="164" formatCode="yyyy-mm-dd"/>
    <x:numFmt numFmtId="165" formatCode="hh:mm:ss"/>
  </x:numFmts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3">
    <x:xf fontId="0" fillId="0" borderId="0" xfId="0"/>
    <x:xf numFmtId="164" xfId="0" applyNumberFormat="1"/>
    <x:xf numFmtId="165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styles" Target="/xl/styles.xml" Id="rId5" /><Relationship Type="http://schemas.openxmlformats.org/officeDocument/2006/relationships/sharedStrings" Target="/xl/sharedStrings.xml" Id="rId6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</x:row>
    <x:row r="2">
      <x:c r="A2" t="s">
        <x:v>7</x:v>
      </x:c>
      <x:c r="B2" t="s">
        <x:v>8</x:v>
      </x:c>
      <x:c r="C2" t="s">
        <x:v>9</x:v>
      </x:c>
      <x:c r="D2">
        <x:v>68000</x:v>
      </x:c>
      <x:c r="E2">
        <x:v>4</x:v>
      </x:c>
      <x:c r="F2" t="b">
        <x:v>1</x:v>
      </x:c>
      <x:c r="G2">
        <x:v>0.9</x:v>
      </x:c>
    </x:row>
    <x:row r="3">
      <x:c r="A3" t="s">
        <x:v>10</x:v>
      </x:c>
      <x:c r="B3" t="s">
        <x:v>8</x:v>
      </x:c>
      <x:c r="C3" t="s">
        <x:v>11</x:v>
      </x:c>
      <x:c r="D3">
        <x:v>82000</x:v>
      </x:c>
      <x:c r="E3">
        <x:v>9</x:v>
      </x:c>
      <x:c r="F3" t="b">
        <x:v>0</x:v>
      </x:c>
      <x:c r="G3">
        <x:v>0.95</x:v>
      </x:c>
    </x:row>
    <x:row r="4">
      <x:c r="A4" t="s">
        <x:v>12</x:v>
      </x:c>
      <x:c r="B4" t="s">
        <x:v>13</x:v>
      </x:c>
      <x:c r="C4" t="s">
        <x:v>14</x:v>
      </x:c>
      <x:c r="D4">
        <x:v>54000</x:v>
      </x:c>
      <x:c r="E4">
        <x:v>3</x:v>
      </x:c>
      <x:c r="F4" t="b">
        <x:v>1</x:v>
      </x:c>
      <x:c r="G4">
        <x:v>0.8</x:v>
      </x:c>
    </x:row>
    <x:row r="5">
      <x:c r="A5" t="s">
        <x:v>15</x:v>
      </x:c>
      <x:c r="B5" t="s">
        <x:v>13</x:v>
      </x:c>
      <x:c r="C5" t="s">
        <x:v>14</x:v>
      </x:c>
      <x:c r="D5">
        <x:v>57000</x:v>
      </x:c>
      <x:c r="E5">
        <x:v>6</x:v>
      </x:c>
      <x:c r="F5" t="b">
        <x:v>0</x:v>
      </x:c>
      <x:c r="G5">
        <x:v>0.85</x:v>
      </x:c>
    </x:row>
    <x:row r="6">
      <x:c r="A6" t="s">
        <x:v>16</x:v>
      </x:c>
      <x:c r="B6" t="s">
        <x:v>17</x:v>
      </x:c>
      <x:c r="C6" t="s">
        <x:v>18</x:v>
      </x:c>
      <x:c r="D6">
        <x:v>41000</x:v>
      </x:c>
      <x:c r="E6">
        <x:v>2</x:v>
      </x:c>
      <x:c r="F6" t="b">
        <x:v>1</x:v>
      </x:c>
      <x:c r="G6">
        <x:v>0.7</x:v>
      </x:c>
    </x:row>
    <x:row r="7">
      <x:c r="A7" t="s">
        <x:v>19</x:v>
      </x:c>
      <x:c r="B7" t="s">
        <x:v>8</x:v>
      </x:c>
      <x:c r="C7" t="s">
        <x:v>9</x:v>
      </x:c>
      <x:c r="D7">
        <x:v>71000</x:v>
      </x:c>
      <x:c r="E7">
        <x:v>5</x:v>
      </x:c>
      <x:c r="F7" t="b">
        <x:v>1</x:v>
      </x:c>
      <x:c r="G7">
        <x:v>0.9</x:v>
      </x:c>
    </x:row>
    <x:row r="8">
      <x:c r="A8" t="s">
        <x:v>20</x:v>
      </x:c>
      <x:c r="B8" t="s">
        <x:v>17</x:v>
      </x:c>
      <x:c r="C8" t="s">
        <x:v>11</x:v>
      </x:c>
      <x:c r="D8">
        <x:v>49000</x:v>
      </x:c>
      <x:c r="E8">
        <x:v>8</x:v>
      </x:c>
      <x:c r="F8" t="b">
        <x:v>0</x:v>
      </x:c>
      <x:c r="G8">
        <x:v>0.92</x:v>
      </x:c>
    </x:row>
    <x:row r="9">
      <x:c r="A9" t="s">
        <x:v>21</x:v>
      </x:c>
      <x:c r="B9" t="s">
        <x:v>13</x:v>
      </x:c>
      <x:c r="C9" t="s">
        <x:v>11</x:v>
      </x:c>
      <x:c r="D9">
        <x:v>66000</x:v>
      </x:c>
      <x:c r="E9">
        <x:v>7</x:v>
      </x:c>
      <x:c r="F9" t="b">
        <x:v>0</x:v>
      </x:c>
      <x:c r="G9">
        <x:v>0.88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">
        <x:v>1</x:v>
      </x:c>
      <x:c r="C1" t="s">
        <x:v>1</x:v>
      </x:c>
      <x:c r="D1" t="s">
        <x:v>4</x:v>
      </x:c>
      <x:c r="F1" t="s">
        <x:v>2</x:v>
      </x:c>
      <x:c r="H1" t="s">
        <x:v>0</x:v>
      </x:c>
      <x:c r="J1" t="s">
        <x:v>5</x:v>
      </x:c>
    </x:row>
    <x:row r="2">
      <x:c r="A2" t="s">
        <x:v>8</x:v>
      </x:c>
      <x:c r="C2" t="s">
        <x:v>13</x:v>
      </x:c>
      <x:c r="D2" t="s">
        <x:v>22</x:v>
      </x:c>
      <x:c r="F2" t="s">
        <x:v>11</x:v>
      </x:c>
      <x:c r="H2" t="s">
        <x:v>16</x:v>
      </x:c>
      <x:c r="J2" t="b">
        <x:v>1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 t="s">
        <x:v>23</x:v>
      </x:c>
      <x:c r="B1" t="s">
        <x:v>24</x:v>
      </x:c>
      <x:c r="C1" t="s">
        <x:v>25</x:v>
      </x:c>
      <x:c r="D1" t="s">
        <x:v>26</x:v>
      </x:c>
    </x:row>
    <x:row r="2">
      <x:c r="A2" t="s">
        <x:v>27</x:v>
      </x:c>
      <x:c r="B2" t="s">
        <x:v>28</x:v>
      </x:c>
      <x:c r="C2">
        <x:f>DSUM(Staff!A1:G9,"Salary",Criteria!A1:A2)</x:f>
        <x:v>221000</x:v>
      </x:c>
      <x:c r="D2" t="s">
        <x:v>29</x:v>
      </x:c>
    </x:row>
    <x:row r="3">
      <x:c r="A3" t="s">
        <x:v>30</x:v>
      </x:c>
      <x:c r="B3" t="s">
        <x:v>31</x:v>
      </x:c>
      <x:c r="C3">
        <x:f>DAVERAGE(Staff!A1:G9,"Salary",Criteria!F1:F2)</x:f>
        <x:v>65666.6666666667</x:v>
      </x:c>
      <x:c r="D3" t="s">
        <x:v>32</x:v>
      </x:c>
    </x:row>
    <x:row r="4">
      <x:c r="A4" t="s">
        <x:v>33</x:v>
      </x:c>
      <x:c r="B4" t="s">
        <x:v>34</x:v>
      </x:c>
      <x:c r="C4">
        <x:f>DCOUNT(Staff!A1:G9,"Years",Criteria!C1:D2)</x:f>
        <x:v>2</x:v>
      </x:c>
      <x:c r="D4" t="s">
        <x:v>35</x:v>
      </x:c>
    </x:row>
    <x:row r="5">
      <x:c r="A5" t="s">
        <x:v>36</x:v>
      </x:c>
      <x:c r="B5" t="s">
        <x:v>37</x:v>
      </x:c>
      <x:c r="C5">
        <x:f>DCOUNTA(Staff!A1:G9,"Name",Criteria!J1:J2)</x:f>
        <x:v>4</x:v>
      </x:c>
      <x:c r="D5" t="s">
        <x:v>38</x:v>
      </x:c>
    </x:row>
    <x:row r="6">
      <x:c r="A6" t="s">
        <x:v>39</x:v>
      </x:c>
      <x:c r="B6" t="s">
        <x:v>40</x:v>
      </x:c>
      <x:c r="C6" t="str">
        <x:f>DGET(Staff!A1:G9,"Role",Criteria!H1:H2)</x:f>
        <x:v>Agent</x:v>
      </x:c>
      <x:c r="D6" t="s">
        <x:v>41</x:v>
      </x:c>
    </x:row>
    <x:row r="7">
      <x:c r="A7" t="s">
        <x:v>39</x:v>
      </x:c>
      <x:c r="B7" t="s">
        <x:v>42</x:v>
      </x:c>
      <x:c r="C7">
        <x:f>DGET(Staff!A1:G9,4,Criteria!H1:H2)</x:f>
        <x:v>41000</x:v>
      </x:c>
      <x:c r="D7" t="s">
        <x:v>43</x:v>
      </x:c>
    </x:row>
    <x:row r="8">
      <x:c r="A8" t="s">
        <x:v>44</x:v>
      </x:c>
      <x:c r="B8" t="s">
        <x:v>45</x:v>
      </x:c>
      <x:c r="C8">
        <x:f>DMAX(Staff!A1:G9,"Salary",Criteria!A1:A2)</x:f>
        <x:v>82000</x:v>
      </x:c>
      <x:c r="D8" t="s">
        <x:v>46</x:v>
      </x:c>
    </x:row>
    <x:row r="9">
      <x:c r="A9" t="s">
        <x:v>47</x:v>
      </x:c>
      <x:c r="B9" t="s">
        <x:v>48</x:v>
      </x:c>
      <x:c r="C9">
        <x:f>DMIN(Staff!A1:G9,"Years",Criteria!F1:F2)</x:f>
        <x:v>7</x:v>
      </x:c>
      <x:c r="D9" t="s">
        <x:v>49</x:v>
      </x:c>
    </x:row>
    <x:row r="10">
      <x:c r="A10" t="s">
        <x:v>50</x:v>
      </x:c>
      <x:c r="B10" t="s">
        <x:v>51</x:v>
      </x:c>
      <x:c r="C10">
        <x:f>DPRODUCT(Staff!A1:G9,"Retention",Criteria!A1:A2)</x:f>
        <x:v>0.7695</x:v>
      </x:c>
      <x:c r="D10" t="s">
        <x:v>52</x:v>
      </x:c>
    </x:row>
    <x:row r="11">
      <x:c r="A11" t="s">
        <x:v>53</x:v>
      </x:c>
      <x:c r="B11" t="s">
        <x:v>54</x:v>
      </x:c>
      <x:c r="C11">
        <x:f>DSTDEV(Staff!A1:G9,"Salary",Criteria!C1:C2)</x:f>
        <x:v>6244.9979983984</x:v>
      </x:c>
      <x:c r="D11" t="s">
        <x:v>55</x:v>
      </x:c>
    </x:row>
    <x:row r="12">
      <x:c r="A12" t="s">
        <x:v>56</x:v>
      </x:c>
      <x:c r="B12" t="s">
        <x:v>57</x:v>
      </x:c>
      <x:c r="C12">
        <x:f>DSTDEVP(Staff!A1:G9,"Salary",Criteria!C1:C2)</x:f>
        <x:v>5099.01951359279</x:v>
      </x:c>
      <x:c r="D12" t="s">
        <x:v>58</x:v>
      </x:c>
    </x:row>
    <x:row r="13">
      <x:c r="A13" t="s">
        <x:v>59</x:v>
      </x:c>
      <x:c r="B13" t="s">
        <x:v>60</x:v>
      </x:c>
      <x:c r="C13">
        <x:f>DVAR(Staff!A1:G9,"Salary",Criteria!A1:A2)</x:f>
        <x:v>54333333.3333333</x:v>
      </x:c>
      <x:c r="D13" t="s">
        <x:v>61</x:v>
      </x:c>
    </x:row>
    <x:row r="14">
      <x:c r="A14" t="s">
        <x:v>62</x:v>
      </x:c>
      <x:c r="B14" t="s">
        <x:v>63</x:v>
      </x:c>
      <x:c r="C14">
        <x:f>DVARP(Staff!A1:G9,"Salary",Criteria!A1:A2)</x:f>
        <x:v>36222222.2222222</x:v>
      </x:c>
      <x:c r="D14" t="s">
        <x:v>58</x:v>
      </x:c>
    </x:row>
  </x:sheetData>
</x:worksheet>
</file>