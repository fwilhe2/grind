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Id2"/>
    <x:sheet xmlns:r="http://schemas.openxmlformats.org/officeDocument/2006/relationships" name="Samples" sheetId="2" r:id="rId3"/>
  </x:sheets>
  <x:calcPr calcId="191029" fullCalcOnLoad="0"/>
</x:workbook>
</file>

<file path=xl/sharedStrings.xml><?xml version="1.0" encoding="utf-8"?>
<x:sst xmlns:x="http://schemas.openxmlformats.org/spreadsheetml/2006/main" count="54" uniqueCount="54">
  <x:si>
    <x:t>Order</x:t>
  </x:si>
  <x:si>
    <x:t>Customer</x:t>
  </x:si>
  <x:si>
    <x:t>Amount</x:t>
  </x:si>
  <x:si>
    <x:t>Paid</x:t>
  </x:si>
  <x:si>
    <x:t>Shipped</x:t>
  </x:si>
  <x:si>
    <x:t>Due</x:t>
  </x:si>
  <x:si>
    <x:t>Express</x:t>
  </x:si>
  <x:si>
    <x:t>Items</x:t>
  </x:si>
  <x:si>
    <x:t>SO-1041</x:t>
  </x:si>
  <x:si>
    <x:t>Harbor Café</x:t>
  </x:si>
  <x:si>
    <x:t>SO-1042</x:t>
  </x:si>
  <x:si>
    <x:t>Lindqvist Design</x:t>
  </x:si>
  <x:si>
    <x:t>SO-1043</x:t>
  </x:si>
  <x:si>
    <x:t>Mason &amp; Rowe</x:t>
  </x:si>
  <x:si>
    <x:t>SO-1044</x:t>
  </x:si>
  <x:si>
    <x:t>Pine Street School</x:t>
  </x:si>
  <x:si>
    <x:t>SO-1045</x:t>
  </x:si>
  <x:si>
    <x:t>Quayside Gym</x:t>
  </x:si>
  <x:si>
    <x:t>Function</x:t>
  </x:si>
  <x:si>
    <x:t>Formula</x:t>
  </x:si>
  <x:si>
    <x:t>Result</x:t>
  </x:si>
  <x:si>
    <x:t>What it shows</x:t>
  </x:si>
  <x:si>
    <x:t>IF</x:t>
  </x:si>
  <x:si>
    <x:t>=IF(Orders!D2,"Paid","Open")</x:t>
  </x:si>
  <x:si>
    <x:t>SO-1041's payment status</x:t>
  </x:si>
  <x:si>
    <x:t>=IF(Orders!C3&gt;1000,Orders!C3*0.03,0)</x:t>
  </x:si>
  <x:si>
    <x:t>A 3% discount on orders over 1000</x:t>
  </x:si>
  <x:si>
    <x:t>AND</x:t>
  </x:si>
  <x:si>
    <x:t>=AND(Orders!D2,Orders!E2)</x:t>
  </x:si>
  <x:si>
    <x:t>SO-1041 is paid and shipped: done</x:t>
  </x:si>
  <x:si>
    <x:t>=IF(AND(Orders!D4,Orders!E4),"Done","Follow up")</x:t>
  </x:si>
  <x:si>
    <x:t>SO-1043 still needs attention</x:t>
  </x:si>
  <x:si>
    <x:t>OR</x:t>
  </x:si>
  <x:si>
    <x:t>=OR(Orders!G3,Orders!C3&gt;1000)</x:t>
  </x:si>
  <x:si>
    <x:t>SO-1042 needs a signature: express, or over 1000</x:t>
  </x:si>
  <x:si>
    <x:t>NOT</x:t>
  </x:si>
  <x:si>
    <x:t>=NOT(Orders!E3)</x:t>
  </x:si>
  <x:si>
    <x:t>SO-1042 has still to ship</x:t>
  </x:si>
  <x:si>
    <x:t>TRUE</x:t>
  </x:si>
  <x:si>
    <x:t>=COUNTIF(Orders!D2:D6,TRUE)</x:t>
  </x:si>
  <x:si>
    <x:t>Orders paid</x:t>
  </x:si>
  <x:si>
    <x:t>FALSE</x:t>
  </x:si>
  <x:si>
    <x:t>=COUNTIF(Orders!E2:E6,FALSE)</x:t>
  </x:si>
  <x:si>
    <x:t>Orders not yet shipped</x:t>
  </x:si>
  <x:si>
    <x:t>IFERROR</x:t>
  </x:si>
  <x:si>
    <x:t>=IFERROR(Orders!C2/Orders!H2,"no items")</x:t>
  </x:si>
  <x:si>
    <x:t>Price per item on SO-1041</x:t>
  </x:si>
  <x:si>
    <x:t>=IFERROR(Orders!C6/Orders!H6,"no items")</x:t>
  </x:si>
  <x:si>
    <x:t>SO-1045 has no items, so a note instead of #DIV/0!</x:t>
  </x:si>
  <x:si>
    <x:t>IFNA</x:t>
  </x:si>
  <x:si>
    <x:t>=IFNA(VLOOKUP("SO-1050",Orders!A2:C6,3,FALSE),"not on file")</x:t>
  </x:si>
  <x:si>
    <x:t>An order number that does not exist</x:t>
  </x:si>
  <x:si>
    <x:t>=IFNA(MATCH("Quayside Gym",Orders!B2:B6,0),0)</x:t>
  </x:si>
  <x:si>
    <x:t>Where Quayside Gym's order is in the list</x:t>
  </x:si>
</x:sst>
</file>

<file path=xl/styles.xml><?xml version="1.0" encoding="utf-8"?>
<x:styleSheet xmlns:x="http://schemas.openxmlformats.org/spreadsheetml/2006/main">
  <x:numFmts count="2">
    <x:numFmt numFmtId="164" formatCode="yyyy-mm-dd"/>
    <x:numFmt numFmtId="165" formatCode="hh:mm:ss"/>
  </x:numFmts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">
    <x:xf fontId="0" fillId="0" borderId="0" xfId="0"/>
    <x:xf numFmtId="164" xfId="0" applyNumberFormat="1"/>
    <x:xf numFmtId="165" xfId="0" applyNumberForma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styles" Target="/xl/styles.xml" Id="rId4" /><Relationship Type="http://schemas.openxmlformats.org/officeDocument/2006/relationships/sharedStrings" Target="/xl/sharedStrings.xml" Id="rId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>
        <x:v>420</x:v>
      </x:c>
      <x:c r="D2" t="b">
        <x:v>1</x:v>
      </x:c>
      <x:c r="E2" t="b">
        <x:v>1</x:v>
      </x:c>
      <x:c r="F2" s="1">
        <x:v>46297</x:v>
      </x:c>
      <x:c r="G2" t="b">
        <x:v>0</x:v>
      </x:c>
      <x:c r="H2">
        <x:v>12</x:v>
      </x:c>
    </x:row>
    <x:row r="3">
      <x:c r="A3" t="s">
        <x:v>10</x:v>
      </x:c>
      <x:c r="B3" t="s">
        <x:v>11</x:v>
      </x:c>
      <x:c r="C3">
        <x:v>1280.5</x:v>
      </x:c>
      <x:c r="D3" t="b">
        <x:v>0</x:v>
      </x:c>
      <x:c r="E3" t="b">
        <x:v>0</x:v>
      </x:c>
      <x:c r="F3" s="1">
        <x:v>46304</x:v>
      </x:c>
      <x:c r="G3" t="b">
        <x:v>1</x:v>
      </x:c>
      <x:c r="H3">
        <x:v>40</x:v>
      </x:c>
    </x:row>
    <x:row r="4">
      <x:c r="A4" t="s">
        <x:v>12</x:v>
      </x:c>
      <x:c r="B4" t="s">
        <x:v>13</x:v>
      </x:c>
      <x:c r="C4">
        <x:v>96.8</x:v>
      </x:c>
      <x:c r="D4" t="b">
        <x:v>1</x:v>
      </x:c>
      <x:c r="E4" t="b">
        <x:v>0</x:v>
      </x:c>
      <x:c r="F4" s="1">
        <x:v>46300</x:v>
      </x:c>
      <x:c r="G4" t="b">
        <x:v>0</x:v>
      </x:c>
      <x:c r="H4">
        <x:v>3</x:v>
      </x:c>
    </x:row>
    <x:row r="5">
      <x:c r="A5" t="s">
        <x:v>14</x:v>
      </x:c>
      <x:c r="B5" t="s">
        <x:v>15</x:v>
      </x:c>
      <x:c r="C5">
        <x:v>2310</x:v>
      </x:c>
      <x:c r="D5" t="b">
        <x:v>0</x:v>
      </x:c>
      <x:c r="E5" t="b">
        <x:v>1</x:v>
      </x:c>
      <x:c r="F5" s="1">
        <x:v>46293</x:v>
      </x:c>
      <x:c r="G5" t="b">
        <x:v>0</x:v>
      </x:c>
      <x:c r="H5">
        <x:v>75</x:v>
      </x:c>
    </x:row>
    <x:row r="6">
      <x:c r="A6" t="s">
        <x:v>16</x:v>
      </x:c>
      <x:c r="B6" t="s">
        <x:v>17</x:v>
      </x:c>
      <x:c r="C6">
        <x:v>0</x:v>
      </x:c>
      <x:c r="D6" t="b">
        <x:v>1</x:v>
      </x:c>
      <x:c r="E6" t="b">
        <x:v>1</x:v>
      </x:c>
      <x:c r="F6" s="1">
        <x:v>46307</x:v>
      </x:c>
      <x:c r="G6" t="b">
        <x:v>1</x:v>
      </x:c>
      <x:c r="H6">
        <x:v>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18</x:v>
      </x:c>
      <x:c r="B1" t="s">
        <x:v>19</x:v>
      </x:c>
      <x:c r="C1" t="s">
        <x:v>20</x:v>
      </x:c>
      <x:c r="D1" t="s">
        <x:v>21</x:v>
      </x:c>
    </x:row>
    <x:row r="2">
      <x:c r="A2" t="s">
        <x:v>22</x:v>
      </x:c>
      <x:c r="B2" t="s">
        <x:v>23</x:v>
      </x:c>
      <x:c r="C2" t="str">
        <x:f>IF(Orders!D2,"Paid","Open")</x:f>
        <x:v>Paid</x:v>
      </x:c>
      <x:c r="D2" t="s">
        <x:v>24</x:v>
      </x:c>
    </x:row>
    <x:row r="3">
      <x:c r="A3" t="s">
        <x:v>22</x:v>
      </x:c>
      <x:c r="B3" t="s">
        <x:v>25</x:v>
      </x:c>
      <x:c r="C3">
        <x:f>IF(Orders!C3&gt;1000,Orders!C3*0.03,0)</x:f>
        <x:v>38.415</x:v>
      </x:c>
      <x:c r="D3" t="s">
        <x:v>26</x:v>
      </x:c>
    </x:row>
    <x:row r="4">
      <x:c r="A4" t="s">
        <x:v>27</x:v>
      </x:c>
      <x:c r="B4" t="s">
        <x:v>28</x:v>
      </x:c>
      <x:c r="C4" t="b">
        <x:f>AND(Orders!D2,Orders!E2)</x:f>
        <x:v>1</x:v>
      </x:c>
      <x:c r="D4" t="s">
        <x:v>29</x:v>
      </x:c>
    </x:row>
    <x:row r="5">
      <x:c r="A5" t="s">
        <x:v>27</x:v>
      </x:c>
      <x:c r="B5" t="s">
        <x:v>30</x:v>
      </x:c>
      <x:c r="C5" t="str">
        <x:f>IF(AND(Orders!D4,Orders!E4),"Done","Follow up")</x:f>
        <x:v>Follow up</x:v>
      </x:c>
      <x:c r="D5" t="s">
        <x:v>31</x:v>
      </x:c>
    </x:row>
    <x:row r="6">
      <x:c r="A6" t="s">
        <x:v>32</x:v>
      </x:c>
      <x:c r="B6" t="s">
        <x:v>33</x:v>
      </x:c>
      <x:c r="C6" t="b">
        <x:f>OR(Orders!G3,Orders!C3&gt;1000)</x:f>
        <x:v>1</x:v>
      </x:c>
      <x:c r="D6" t="s">
        <x:v>34</x:v>
      </x:c>
    </x:row>
    <x:row r="7">
      <x:c r="A7" t="s">
        <x:v>35</x:v>
      </x:c>
      <x:c r="B7" t="s">
        <x:v>36</x:v>
      </x:c>
      <x:c r="C7" t="b">
        <x:f>NOT(Orders!E3)</x:f>
        <x:v>1</x:v>
      </x:c>
      <x:c r="D7" t="s">
        <x:v>37</x:v>
      </x:c>
    </x:row>
    <x:row r="8">
      <x:c r="A8" t="s">
        <x:v>38</x:v>
      </x:c>
      <x:c r="B8" t="s">
        <x:v>39</x:v>
      </x:c>
      <x:c r="C8">
        <x:f>COUNTIF(Orders!D2:D6,TRUE)</x:f>
        <x:v>3</x:v>
      </x:c>
      <x:c r="D8" t="s">
        <x:v>40</x:v>
      </x:c>
    </x:row>
    <x:row r="9">
      <x:c r="A9" t="s">
        <x:v>41</x:v>
      </x:c>
      <x:c r="B9" t="s">
        <x:v>42</x:v>
      </x:c>
      <x:c r="C9">
        <x:f>COUNTIF(Orders!E2:E6,FALSE)</x:f>
        <x:v>2</x:v>
      </x:c>
      <x:c r="D9" t="s">
        <x:v>43</x:v>
      </x:c>
    </x:row>
    <x:row r="10">
      <x:c r="A10" t="s">
        <x:v>44</x:v>
      </x:c>
      <x:c r="B10" t="s">
        <x:v>45</x:v>
      </x:c>
      <x:c r="C10">
        <x:f>IFERROR(Orders!C2/Orders!H2,"no items")</x:f>
        <x:v>35</x:v>
      </x:c>
      <x:c r="D10" t="s">
        <x:v>46</x:v>
      </x:c>
    </x:row>
    <x:row r="11">
      <x:c r="A11" t="s">
        <x:v>44</x:v>
      </x:c>
      <x:c r="B11" t="s">
        <x:v>47</x:v>
      </x:c>
      <x:c r="C11" t="str">
        <x:f>IFERROR(Orders!C6/Orders!H6,"no items")</x:f>
        <x:v>no items</x:v>
      </x:c>
      <x:c r="D11" t="s">
        <x:v>48</x:v>
      </x:c>
    </x:row>
    <x:row r="12">
      <x:c r="A12" t="s">
        <x:v>49</x:v>
      </x:c>
      <x:c r="B12" t="s">
        <x:v>50</x:v>
      </x:c>
      <x:c r="C12" t="str">
        <x:f>IFNA(VLOOKUP("SO-1050",Orders!A2:C6,3,FALSE),"not on file")</x:f>
        <x:v>not on file</x:v>
      </x:c>
      <x:c r="D12" t="s">
        <x:v>51</x:v>
      </x:c>
    </x:row>
    <x:row r="13">
      <x:c r="A13" t="s">
        <x:v>49</x:v>
      </x:c>
      <x:c r="B13" t="s">
        <x:v>52</x:v>
      </x:c>
      <x:c r="C13">
        <x:f>IFNA(MATCH("Quayside Gym",Orders!B2:B6,0),0)</x:f>
        <x:v>5</x:v>
      </x:c>
      <x:c r="D13" t="s">
        <x:v>53</x:v>
      </x:c>
    </x:row>
  </x:sheetData>
</x:worksheet>
</file>