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s" sheetId="1" r:id="rId2"/>
    <x:sheet xmlns:r="http://schemas.openxmlformats.org/officeDocument/2006/relationships" name="Samples" sheetId="2" r:id="rId3"/>
  </x:sheets>
  <x:calcPr calcId="191029" fullCalcOnLoad="0"/>
</x:workbook>
</file>

<file path=xl/sharedStrings.xml><?xml version="1.0" encoding="utf-8"?>
<x:sst xmlns:x="http://schemas.openxmlformats.org/spreadsheetml/2006/main" count="67" uniqueCount="67">
  <x:si>
    <x:t>Student</x:t>
  </x:si>
  <x:si>
    <x:t>Class</x:t>
  </x:si>
  <x:si>
    <x:t>Maths</x:t>
  </x:si>
  <x:si>
    <x:t>English</x:t>
  </x:si>
  <x:si>
    <x:t>Science</x:t>
  </x:si>
  <x:si>
    <x:t>Ann Becker</x:t>
  </x:si>
  <x:si>
    <x:t>7A</x:t>
  </x:si>
  <x:si>
    <x:t>Ben Okafor</x:t>
  </x:si>
  <x:si>
    <x:t>Chloe Martin</x:t>
  </x:si>
  <x:si>
    <x:t>7B</x:t>
  </x:si>
  <x:si>
    <x:t>Dev Patel</x:t>
  </x:si>
  <x:si>
    <x:t>absent</x:t>
  </x:si>
  <x:si>
    <x:t>Ella Novak</x:t>
  </x:si>
  <x:si>
    <x:t>Finn Larsen</x:t>
  </x:si>
  <x:si>
    <x:t>Grace Liu</x:t>
  </x:si>
  <x:si>
    <x:t>Hugo Silva</x:t>
  </x:si>
  <x:si>
    <x:t>Isla Moreau</x:t>
  </x:si>
  <x:si>
    <x:t>Jonah Weiss</x:t>
  </x:si>
  <x:si>
    <x:t>Function</x:t>
  </x:si>
  <x:si>
    <x:t>Formula</x:t>
  </x:si>
  <x:si>
    <x:t>Result</x:t>
  </x:si>
  <x:si>
    <x:t>What it shows</x:t>
  </x:si>
  <x:si>
    <x:t>AVERAGE</x:t>
  </x:si>
  <x:si>
    <x:t>=AVERAGE(Marks!C2:C11)</x:t>
  </x:si>
  <x:si>
    <x:t>Mean maths mark</x:t>
  </x:si>
  <x:si>
    <x:t>=AVERAGE(Marks!D2:D11)</x:t>
  </x:si>
  <x:si>
    <x:t>Mean English mark: the blank and the note are skipped, not zeros</x:t>
  </x:si>
  <x:si>
    <x:t>AVERAGEIF</x:t>
  </x:si>
  <x:si>
    <x:t>=AVERAGEIF(Marks!B2:B11,"7A",Marks!C2:C11)</x:t>
  </x:si>
  <x:si>
    <x:t>Class 7A's mean maths mark</x:t>
  </x:si>
  <x:si>
    <x:t>=AVERAGEIF(Marks!E2:E11,"&gt;=80")</x:t>
  </x:si>
  <x:si>
    <x:t>Mean of the science marks of 80 and above</x:t>
  </x:si>
  <x:si>
    <x:t>AVERAGEIFS</x:t>
  </x:si>
  <x:si>
    <x:t>=AVERAGEIFS(Marks!E2:E11,Marks!B2:B11,"7B",Marks!C2:C11,"&gt;=60")</x:t>
  </x:si>
  <x:si>
    <x:t>Science in 7B, among those with at least 60 in maths</x:t>
  </x:si>
  <x:si>
    <x:t>MAX</x:t>
  </x:si>
  <x:si>
    <x:t>=MAX(Marks!C2:E11)</x:t>
  </x:si>
  <x:si>
    <x:t>The best mark in any subject</x:t>
  </x:si>
  <x:si>
    <x:t>MIN</x:t>
  </x:si>
  <x:si>
    <x:t>=MIN(Marks!C2:C11)</x:t>
  </x:si>
  <x:si>
    <x:t>The lowest maths mark</x:t>
  </x:si>
  <x:si>
    <x:t>LARGE</x:t>
  </x:si>
  <x:si>
    <x:t>=LARGE(Marks!C2:C11,3)</x:t>
  </x:si>
  <x:si>
    <x:t>Third-best maths mark</x:t>
  </x:si>
  <x:si>
    <x:t>SMALL</x:t>
  </x:si>
  <x:si>
    <x:t>=SMALL(Marks!E2:E11,2)</x:t>
  </x:si>
  <x:si>
    <x:t>Second-lowest science mark</x:t>
  </x:si>
  <x:si>
    <x:t>MEDIAN</x:t>
  </x:si>
  <x:si>
    <x:t>=MEDIAN(Marks!C2:C11)</x:t>
  </x:si>
  <x:si>
    <x:t>The middle maths mark</x:t>
  </x:si>
  <x:si>
    <x:t>RANK</x:t>
  </x:si>
  <x:si>
    <x:t>=RANK(Marks!C4,Marks!C2:C11)</x:t>
  </x:si>
  <x:si>
    <x:t>Chloe's place in maths, best first</x:t>
  </x:si>
  <x:si>
    <x:t>=RANK(Marks!C9,Marks!C2:C11,1)</x:t>
  </x:si>
  <x:si>
    <x:t>Hugo's place in maths, counted from the bottom</x:t>
  </x:si>
  <x:si>
    <x:t>STDEV</x:t>
  </x:si>
  <x:si>
    <x:t>=STDEV(Marks!C2:C11)</x:t>
  </x:si>
  <x:si>
    <x:t>Spread of the maths marks, as a sample</x:t>
  </x:si>
  <x:si>
    <x:t>STDEVP</x:t>
  </x:si>
  <x:si>
    <x:t>=STDEVP(Marks!C2:C11)</x:t>
  </x:si>
  <x:si>
    <x:t>The same, treating the classes as the whole population</x:t>
  </x:si>
  <x:si>
    <x:t>VAR</x:t>
  </x:si>
  <x:si>
    <x:t>=VAR(Marks!E2:E11)</x:t>
  </x:si>
  <x:si>
    <x:t>Variance of the science marks, as a sample</x:t>
  </x:si>
  <x:si>
    <x:t>VARP</x:t>
  </x:si>
  <x:si>
    <x:t>=VARP(Marks!E2:E11)</x:t>
  </x:si>
  <x:si>
    <x:t>The same, as a population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</x:si>
</x:sst>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styles" Target="/xl/styles.xml" Id="rId4" /><Relationship Type="http://schemas.openxmlformats.org/officeDocument/2006/relationships/sharedStrings" Target="/xl/sharedStrings.xml" Id="rId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t="s">
        <x:v>6</x:v>
      </x:c>
      <x:c r="C2">
        <x:v>78</x:v>
      </x:c>
      <x:c r="D2">
        <x:v>85</x:v>
      </x:c>
      <x:c r="E2">
        <x:v>81</x:v>
      </x:c>
    </x:row>
    <x:row r="3">
      <x:c r="A3" t="s">
        <x:v>7</x:v>
      </x:c>
      <x:c r="B3" t="s">
        <x:v>6</x:v>
      </x:c>
      <x:c r="C3">
        <x:v>64</x:v>
      </x:c>
      <x:c r="D3">
        <x:v>72</x:v>
      </x:c>
      <x:c r="E3">
        <x:v>70</x:v>
      </x:c>
    </x:row>
    <x:row r="4">
      <x:c r="A4" t="s">
        <x:v>8</x:v>
      </x:c>
      <x:c r="B4" t="s">
        <x:v>9</x:v>
      </x:c>
      <x:c r="C4">
        <x:v>91</x:v>
      </x:c>
      <x:c r="D4">
        <x:v>88</x:v>
      </x:c>
      <x:c r="E4">
        <x:v>94</x:v>
      </x:c>
    </x:row>
    <x:row r="5">
      <x:c r="A5" t="s">
        <x:v>10</x:v>
      </x:c>
      <x:c r="B5" t="s">
        <x:v>9</x:v>
      </x:c>
      <x:c r="C5">
        <x:v>55</x:v>
      </x:c>
      <x:c r="D5" t="s">
        <x:v>11</x:v>
      </x:c>
      <x:c r="E5">
        <x:v>59</x:v>
      </x:c>
    </x:row>
    <x:row r="6">
      <x:c r="A6" t="s">
        <x:v>12</x:v>
      </x:c>
      <x:c r="B6" t="s">
        <x:v>6</x:v>
      </x:c>
      <x:c r="C6">
        <x:v>83</x:v>
      </x:c>
      <x:c r="D6">
        <x:v>79</x:v>
      </x:c>
      <x:c r="E6">
        <x:v>86</x:v>
      </x:c>
    </x:row>
    <x:row r="7">
      <x:c r="A7" t="s">
        <x:v>13</x:v>
      </x:c>
      <x:c r="B7" t="s">
        <x:v>9</x:v>
      </x:c>
      <x:c r="C7">
        <x:v>70</x:v>
      </x:c>
      <x:c r="E7">
        <x:v>74</x:v>
      </x:c>
    </x:row>
    <x:row r="8">
      <x:c r="A8" t="s">
        <x:v>14</x:v>
      </x:c>
      <x:c r="B8" t="s">
        <x:v>6</x:v>
      </x:c>
      <x:c r="C8">
        <x:v>88</x:v>
      </x:c>
      <x:c r="D8">
        <x:v>92</x:v>
      </x:c>
      <x:c r="E8">
        <x:v>90</x:v>
      </x:c>
    </x:row>
    <x:row r="9">
      <x:c r="A9" t="s">
        <x:v>15</x:v>
      </x:c>
      <x:c r="B9" t="s">
        <x:v>9</x:v>
      </x:c>
      <x:c r="C9">
        <x:v>47</x:v>
      </x:c>
      <x:c r="D9">
        <x:v>58</x:v>
      </x:c>
      <x:c r="E9">
        <x:v>52</x:v>
      </x:c>
    </x:row>
    <x:row r="10">
      <x:c r="A10" t="s">
        <x:v>16</x:v>
      </x:c>
      <x:c r="B10" t="s">
        <x:v>6</x:v>
      </x:c>
      <x:c r="C10">
        <x:v>95</x:v>
      </x:c>
      <x:c r="D10">
        <x:v>90</x:v>
      </x:c>
      <x:c r="E10">
        <x:v>97</x:v>
      </x:c>
    </x:row>
    <x:row r="11">
      <x:c r="A11" t="s">
        <x:v>17</x:v>
      </x:c>
      <x:c r="B11" t="s">
        <x:v>9</x:v>
      </x:c>
      <x:c r="C11">
        <x:v>72</x:v>
      </x:c>
      <x:c r="D11">
        <x:v>68</x:v>
      </x:c>
      <x:c r="E11">
        <x:v>75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18</x:v>
      </x:c>
      <x:c r="B1" t="s">
        <x:v>19</x:v>
      </x:c>
      <x:c r="C1" t="s">
        <x:v>20</x:v>
      </x:c>
      <x:c r="D1" t="s">
        <x:v>21</x:v>
      </x:c>
    </x:row>
    <x:row r="2">
      <x:c r="A2" t="s">
        <x:v>22</x:v>
      </x:c>
      <x:c r="B2" t="s">
        <x:v>23</x:v>
      </x:c>
      <x:c r="C2">
        <x:f>AVERAGE(Marks!C2:C11)</x:f>
        <x:v>74.3</x:v>
      </x:c>
      <x:c r="D2" t="s">
        <x:v>24</x:v>
      </x:c>
    </x:row>
    <x:row r="3">
      <x:c r="A3" t="s">
        <x:v>22</x:v>
      </x:c>
      <x:c r="B3" t="s">
        <x:v>25</x:v>
      </x:c>
      <x:c r="C3">
        <x:f>AVERAGE(Marks!D2:D11)</x:f>
        <x:v>79</x:v>
      </x:c>
      <x:c r="D3" t="s">
        <x:v>26</x:v>
      </x:c>
    </x:row>
    <x:row r="4">
      <x:c r="A4" t="s">
        <x:v>27</x:v>
      </x:c>
      <x:c r="B4" t="s">
        <x:v>28</x:v>
      </x:c>
      <x:c r="C4">
        <x:f>AVERAGEIF(Marks!B2:B11,"7A",Marks!C2:C11)</x:f>
        <x:v>81.6</x:v>
      </x:c>
      <x:c r="D4" t="s">
        <x:v>29</x:v>
      </x:c>
    </x:row>
    <x:row r="5">
      <x:c r="A5" t="s">
        <x:v>27</x:v>
      </x:c>
      <x:c r="B5" t="s">
        <x:v>30</x:v>
      </x:c>
      <x:c r="C5">
        <x:f>AVERAGEIF(Marks!E2:E11,"&gt;=80")</x:f>
        <x:v>89.6</x:v>
      </x:c>
      <x:c r="D5" t="s">
        <x:v>31</x:v>
      </x:c>
    </x:row>
    <x:row r="6">
      <x:c r="A6" t="s">
        <x:v>32</x:v>
      </x:c>
      <x:c r="B6" t="s">
        <x:v>33</x:v>
      </x:c>
      <x:c r="C6">
        <x:f>AVERAGEIFS(Marks!E2:E11,Marks!B2:B11,"7B",Marks!C2:C11,"&gt;=60")</x:f>
        <x:v>81</x:v>
      </x:c>
      <x:c r="D6" t="s">
        <x:v>34</x:v>
      </x:c>
    </x:row>
    <x:row r="7">
      <x:c r="A7" t="s">
        <x:v>35</x:v>
      </x:c>
      <x:c r="B7" t="s">
        <x:v>36</x:v>
      </x:c>
      <x:c r="C7">
        <x:f>MAX(Marks!C2:E11)</x:f>
        <x:v>97</x:v>
      </x:c>
      <x:c r="D7" t="s">
        <x:v>37</x:v>
      </x:c>
    </x:row>
    <x:row r="8">
      <x:c r="A8" t="s">
        <x:v>38</x:v>
      </x:c>
      <x:c r="B8" t="s">
        <x:v>39</x:v>
      </x:c>
      <x:c r="C8">
        <x:f>MIN(Marks!C2:C11)</x:f>
        <x:v>47</x:v>
      </x:c>
      <x:c r="D8" t="s">
        <x:v>40</x:v>
      </x:c>
    </x:row>
    <x:row r="9">
      <x:c r="A9" t="s">
        <x:v>41</x:v>
      </x:c>
      <x:c r="B9" t="s">
        <x:v>42</x:v>
      </x:c>
      <x:c r="C9">
        <x:f>LARGE(Marks!C2:C11,3)</x:f>
        <x:v>88</x:v>
      </x:c>
      <x:c r="D9" t="s">
        <x:v>43</x:v>
      </x:c>
    </x:row>
    <x:row r="10">
      <x:c r="A10" t="s">
        <x:v>44</x:v>
      </x:c>
      <x:c r="B10" t="s">
        <x:v>45</x:v>
      </x:c>
      <x:c r="C10">
        <x:f>SMALL(Marks!E2:E11,2)</x:f>
        <x:v>59</x:v>
      </x:c>
      <x:c r="D10" t="s">
        <x:v>46</x:v>
      </x:c>
    </x:row>
    <x:row r="11">
      <x:c r="A11" t="s">
        <x:v>47</x:v>
      </x:c>
      <x:c r="B11" t="s">
        <x:v>48</x:v>
      </x:c>
      <x:c r="C11">
        <x:f>MEDIAN(Marks!C2:C11)</x:f>
        <x:v>75</x:v>
      </x:c>
      <x:c r="D11" t="s">
        <x:v>49</x:v>
      </x:c>
    </x:row>
    <x:row r="12">
      <x:c r="A12" t="s">
        <x:v>50</x:v>
      </x:c>
      <x:c r="B12" t="s">
        <x:v>51</x:v>
      </x:c>
      <x:c r="C12">
        <x:f>RANK(Marks!C4,Marks!C2:C11)</x:f>
        <x:v>2</x:v>
      </x:c>
      <x:c r="D12" t="s">
        <x:v>52</x:v>
      </x:c>
    </x:row>
    <x:row r="13">
      <x:c r="A13" t="s">
        <x:v>50</x:v>
      </x:c>
      <x:c r="B13" t="s">
        <x:v>53</x:v>
      </x:c>
      <x:c r="C13">
        <x:f>RANK(Marks!C9,Marks!C2:C11,1)</x:f>
        <x:v>1</x:v>
      </x:c>
      <x:c r="D13" t="s">
        <x:v>54</x:v>
      </x:c>
    </x:row>
    <x:row r="14">
      <x:c r="A14" t="s">
        <x:v>55</x:v>
      </x:c>
      <x:c r="B14" t="s">
        <x:v>56</x:v>
      </x:c>
      <x:c r="C14">
        <x:f>STDEV(Marks!C2:C11)</x:f>
        <x:v>15.7483685222029</x:v>
      </x:c>
      <x:c r="D14" t="s">
        <x:v>57</x:v>
      </x:c>
    </x:row>
    <x:row r="15">
      <x:c r="A15" t="s">
        <x:v>58</x:v>
      </x:c>
      <x:c r="B15" t="s">
        <x:v>59</x:v>
      </x:c>
      <x:c r="C15">
        <x:f>STDEVP(Marks!C2:C11)</x:f>
        <x:v>14.9402141885583</x:v>
      </x:c>
      <x:c r="D15" t="s">
        <x:v>60</x:v>
      </x:c>
    </x:row>
    <x:row r="16">
      <x:c r="A16" t="s">
        <x:v>61</x:v>
      </x:c>
      <x:c r="B16" t="s">
        <x:v>62</x:v>
      </x:c>
      <x:c r="C16">
        <x:f>VAR(Marks!E2:E11)</x:f>
        <x:v>217.733333333333</x:v>
      </x:c>
      <x:c r="D16" t="s">
        <x:v>63</x:v>
      </x:c>
    </x:row>
    <x:row r="17">
      <x:c r="A17" t="s">
        <x:v>64</x:v>
      </x:c>
      <x:c r="B17" t="s">
        <x:v>65</x:v>
      </x:c>
      <x:c r="C17">
        <x:f>VARP(Marks!E2:E11)</x:f>
        <x:v>195.96</x:v>
      </x:c>
      <x:c r="D17" t="s">
        <x:v>66</x:v>
      </x:c>
    </x:row>
  </x:sheetData>
</x:worksheet>
</file>