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Id2"/>
    <x:sheet xmlns:r="http://schemas.openxmlformats.org/officeDocument/2006/relationships" name="Shipping" sheetId="2" r:id="rId3"/>
    <x:sheet xmlns:r="http://schemas.openxmlformats.org/officeDocument/2006/relationships" name="Samples" sheetId="3" r:id="rId4"/>
  </x:sheets>
  <x:calcPr calcId="191029" fullCalcOnLoad="0"/>
</x:workbook>
</file>

<file path=xl/sharedStrings.xml><?xml version="1.0" encoding="utf-8"?>
<x:sst xmlns:x="http://schemas.openxmlformats.org/spreadsheetml/2006/main" count="55" uniqueCount="55">
  <x:si>
    <x:t>SKU</x:t>
  </x:si>
  <x:si>
    <x:t>Product</x:t>
  </x:si>
  <x:si>
    <x:t>Unit</x:t>
  </x:si>
  <x:si>
    <x:t>Price</x:t>
  </x:si>
  <x:si>
    <x:t>Weight kg</x:t>
  </x:si>
  <x:si>
    <x:t>P-10</x:t>
  </x:si>
  <x:si>
    <x:t>Oak shelf 80 cm</x:t>
  </x:si>
  <x:si>
    <x:t>piece</x:t>
  </x:si>
  <x:si>
    <x:t>P-11</x:t>
  </x:si>
  <x:si>
    <x:t>Oak shelf 120 cm</x:t>
  </x:si>
  <x:si>
    <x:t>P-20</x:t>
  </x:si>
  <x:si>
    <x:t>Shelf bracket, black</x:t>
  </x:si>
  <x:si>
    <x:t>pair</x:t>
  </x:si>
  <x:si>
    <x:t>P-21</x:t>
  </x:si>
  <x:si>
    <x:t>Shelf bracket, brass</x:t>
  </x:si>
  <x:si>
    <x:t>P-30</x:t>
  </x:si>
  <x:si>
    <x:t>Wall anchors, 10</x:t>
  </x:si>
  <x:si>
    <x:t>pack</x:t>
  </x:si>
  <x:si>
    <x:t>From kg</x:t>
  </x:si>
  <x:si>
    <x:t>Zone A</x:t>
  </x:si>
  <x:si>
    <x:t>Zone B</x:t>
  </x:si>
  <x:si>
    <x:t>Function</x:t>
  </x:si>
  <x:si>
    <x:t>Formula</x:t>
  </x:si>
  <x:si>
    <x:t>Result</x:t>
  </x:si>
  <x:si>
    <x:t>What it shows</x:t>
  </x:si>
  <x:si>
    <x:t>VLOOKUP</x:t>
  </x:si>
  <x:si>
    <x:t>=VLOOKUP("P-21",Prices!A2:D6,4,FALSE)</x:t>
  </x:si>
  <x:si>
    <x:t>Price of the brass brackets</x:t>
  </x:si>
  <x:si>
    <x:t>=VLOOKUP("P-11",Prices!A2:E6,5,0)</x:t>
  </x:si>
  <x:si>
    <x:t>Weight of the long shelf</x:t>
  </x:si>
  <x:si>
    <x:t>HLOOKUP</x:t>
  </x:si>
  <x:si>
    <x:t>=HLOOKUP(6.1,Shipping!B1:F3,2,TRUE)</x:t>
  </x:si>
  <x:si>
    <x:t>Zone A rate for a 6.1 kg parcel</x:t>
  </x:si>
  <x:si>
    <x:t>=HLOOKUP(0.5,Shipping!B1:F3,3)</x:t>
  </x:si>
  <x:si>
    <x:t>Zone B rate for a 0.5 kg parcel</x:t>
  </x:si>
  <x:si>
    <x:t>MATCH</x:t>
  </x:si>
  <x:si>
    <x:t>=MATCH("P-30",Prices!A2:A6,0)</x:t>
  </x:si>
  <x:si>
    <x:t>Where the wall anchors are on the list</x:t>
  </x:si>
  <x:si>
    <x:t>=MATCH(7,Shipping!B1:F1,1)</x:t>
  </x:si>
  <x:si>
    <x:t>Which weight band 7 kg falls in</x:t>
  </x:si>
  <x:si>
    <x:t>INDEX</x:t>
  </x:si>
  <x:si>
    <x:t>=INDEX(Prices!B2:B6,MATCH(MAX(Prices!D2:D6),Prices!D2:D6,0))</x:t>
  </x:si>
  <x:si>
    <x:t>The most expensive product</x:t>
  </x:si>
  <x:si>
    <x:t>=INDEX(Shipping!B2:F3,2,3)</x:t>
  </x:si>
  <x:si>
    <x:t>Zone B, third weight band</x:t>
  </x:si>
  <x:si>
    <x:t>CHOOSE</x:t>
  </x:si>
  <x:si>
    <x:t>=CHOOSE(WEEKDAY(DATE(2026,10,14),2),"Mon","Tue","Wed","Thu","Fri","Sat","Sun")</x:t>
  </x:si>
  <x:si>
    <x:t>The delivery day's name</x:t>
  </x:si>
  <x:si>
    <x:t>=CHOOSE(2,"Standard","Express","Pick-up")</x:t>
  </x:si>
  <x:si>
    <x:t>The second delivery option</x:t>
  </x:si>
  <x:si>
    <x:t>ADDRESS</x:t>
  </x:si>
  <x:si>
    <x:t>=ADDRESS(MATCH("P-20",Prices!A2:A6,0)+1,4)</x:t>
  </x:si>
  <x:si>
    <x:t>The cell holding the black brackets' price</x:t>
  </x:si>
  <x:si>
    <x:t>=ADDRESS(2,4,4)</x:t>
  </x:si>
  <x:si>
    <x:t>The same kind of address, relative</x:t>
  </x:si>
</x:sst>
</file>

<file path=xl/styles.xml><?xml version="1.0" encoding="utf-8"?>
<x:styleSheet xmlns:x="http://schemas.openxmlformats.org/spreadsheetml/2006/main">
  <x:numFmts count="2">
    <x:numFmt numFmtId="164" formatCode="yyyy-mm-dd"/>
    <x:numFmt numFmtId="165" formatCode="hh:mm:ss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3">
    <x:xf fontId="0" fillId="0" borderId="0" xfId="0"/>
    <x:xf numFmtId="164" xfId="0" applyNumberFormat="1"/>
    <x:xf numFmtId="165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styles" Target="/xl/styles.xml" Id="rId5" /><Relationship Type="http://schemas.openxmlformats.org/officeDocument/2006/relationships/sharedStrings" Target="/xl/sharedStrings.xml" Id="rId6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t="s">
        <x:v>5</x:v>
      </x:c>
      <x:c r="B2" t="s">
        <x:v>6</x:v>
      </x:c>
      <x:c r="C2" t="s">
        <x:v>7</x:v>
      </x:c>
      <x:c r="D2">
        <x:v>34.9</x:v>
      </x:c>
      <x:c r="E2">
        <x:v>4.2</x:v>
      </x:c>
    </x:row>
    <x:row r="3">
      <x:c r="A3" t="s">
        <x:v>8</x:v>
      </x:c>
      <x:c r="B3" t="s">
        <x:v>9</x:v>
      </x:c>
      <x:c r="C3" t="s">
        <x:v>7</x:v>
      </x:c>
      <x:c r="D3">
        <x:v>49.9</x:v>
      </x:c>
      <x:c r="E3">
        <x:v>6.1</x:v>
      </x:c>
    </x:row>
    <x:row r="4">
      <x:c r="A4" t="s">
        <x:v>10</x:v>
      </x:c>
      <x:c r="B4" t="s">
        <x:v>11</x:v>
      </x:c>
      <x:c r="C4" t="s">
        <x:v>12</x:v>
      </x:c>
      <x:c r="D4">
        <x:v>6.5</x:v>
      </x:c>
      <x:c r="E4">
        <x:v>0.4</x:v>
      </x:c>
    </x:row>
    <x:row r="5">
      <x:c r="A5" t="s">
        <x:v>13</x:v>
      </x:c>
      <x:c r="B5" t="s">
        <x:v>14</x:v>
      </x:c>
      <x:c r="C5" t="s">
        <x:v>12</x:v>
      </x:c>
      <x:c r="D5">
        <x:v>9.8</x:v>
      </x:c>
      <x:c r="E5">
        <x:v>0.5</x:v>
      </x:c>
    </x:row>
    <x:row r="6">
      <x:c r="A6" t="s">
        <x:v>15</x:v>
      </x:c>
      <x:c r="B6" t="s">
        <x:v>16</x:v>
      </x:c>
      <x:c r="C6" t="s">
        <x:v>17</x:v>
      </x:c>
      <x:c r="D6">
        <x:v>3.2</x:v>
      </x:c>
      <x:c r="E6">
        <x:v>0.1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18</x:v>
      </x:c>
      <x:c r="B1">
        <x:v>0</x:v>
      </x:c>
      <x:c r="C1">
        <x:v>2</x:v>
      </x:c>
      <x:c r="D1">
        <x:v>5</x:v>
      </x:c>
      <x:c r="E1">
        <x:v>10</x:v>
      </x:c>
      <x:c r="F1">
        <x:v>20</x:v>
      </x:c>
    </x:row>
    <x:row r="2">
      <x:c r="A2" t="s">
        <x:v>19</x:v>
      </x:c>
      <x:c r="B2">
        <x:v>4.9</x:v>
      </x:c>
      <x:c r="C2">
        <x:v>6.9</x:v>
      </x:c>
      <x:c r="D2">
        <x:v>9.9</x:v>
      </x:c>
      <x:c r="E2">
        <x:v>14.9</x:v>
      </x:c>
      <x:c r="F2">
        <x:v>24.9</x:v>
      </x:c>
    </x:row>
    <x:row r="3">
      <x:c r="A3" t="s">
        <x:v>20</x:v>
      </x:c>
      <x:c r="B3">
        <x:v>7.9</x:v>
      </x:c>
      <x:c r="C3">
        <x:v>10.9</x:v>
      </x:c>
      <x:c r="D3">
        <x:v>15.9</x:v>
      </x:c>
      <x:c r="E3">
        <x:v>22.9</x:v>
      </x:c>
      <x:c r="F3">
        <x:v>34.9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">
        <x:v>21</x:v>
      </x:c>
      <x:c r="B1" t="s">
        <x:v>22</x:v>
      </x:c>
      <x:c r="C1" t="s">
        <x:v>23</x:v>
      </x:c>
      <x:c r="D1" t="s">
        <x:v>24</x:v>
      </x:c>
    </x:row>
    <x:row r="2">
      <x:c r="A2" t="s">
        <x:v>25</x:v>
      </x:c>
      <x:c r="B2" t="s">
        <x:v>26</x:v>
      </x:c>
      <x:c r="C2">
        <x:f>VLOOKUP("P-21",Prices!A2:D6,4,FALSE)</x:f>
        <x:v>9.8</x:v>
      </x:c>
      <x:c r="D2" t="s">
        <x:v>27</x:v>
      </x:c>
    </x:row>
    <x:row r="3">
      <x:c r="A3" t="s">
        <x:v>25</x:v>
      </x:c>
      <x:c r="B3" t="s">
        <x:v>28</x:v>
      </x:c>
      <x:c r="C3">
        <x:f>VLOOKUP("P-11",Prices!A2:E6,5,0)</x:f>
        <x:v>6.1</x:v>
      </x:c>
      <x:c r="D3" t="s">
        <x:v>29</x:v>
      </x:c>
    </x:row>
    <x:row r="4">
      <x:c r="A4" t="s">
        <x:v>30</x:v>
      </x:c>
      <x:c r="B4" t="s">
        <x:v>31</x:v>
      </x:c>
      <x:c r="C4">
        <x:f>HLOOKUP(6.1,Shipping!B1:F3,2,TRUE)</x:f>
        <x:v>9.9</x:v>
      </x:c>
      <x:c r="D4" t="s">
        <x:v>32</x:v>
      </x:c>
    </x:row>
    <x:row r="5">
      <x:c r="A5" t="s">
        <x:v>30</x:v>
      </x:c>
      <x:c r="B5" t="s">
        <x:v>33</x:v>
      </x:c>
      <x:c r="C5">
        <x:f>HLOOKUP(0.5,Shipping!B1:F3,3)</x:f>
        <x:v>7.9</x:v>
      </x:c>
      <x:c r="D5" t="s">
        <x:v>34</x:v>
      </x:c>
    </x:row>
    <x:row r="6">
      <x:c r="A6" t="s">
        <x:v>35</x:v>
      </x:c>
      <x:c r="B6" t="s">
        <x:v>36</x:v>
      </x:c>
      <x:c r="C6">
        <x:f>MATCH("P-30",Prices!A2:A6,0)</x:f>
        <x:v>5</x:v>
      </x:c>
      <x:c r="D6" t="s">
        <x:v>37</x:v>
      </x:c>
    </x:row>
    <x:row r="7">
      <x:c r="A7" t="s">
        <x:v>35</x:v>
      </x:c>
      <x:c r="B7" t="s">
        <x:v>38</x:v>
      </x:c>
      <x:c r="C7">
        <x:f>MATCH(7,Shipping!B1:F1,1)</x:f>
        <x:v>3</x:v>
      </x:c>
      <x:c r="D7" t="s">
        <x:v>39</x:v>
      </x:c>
    </x:row>
    <x:row r="8">
      <x:c r="A8" t="s">
        <x:v>40</x:v>
      </x:c>
      <x:c r="B8" t="s">
        <x:v>41</x:v>
      </x:c>
      <x:c r="C8" t="str">
        <x:f>INDEX(Prices!B2:B6,MATCH(MAX(Prices!D2:D6),Prices!D2:D6,0))</x:f>
        <x:v>Oak shelf 120 cm</x:v>
      </x:c>
      <x:c r="D8" t="s">
        <x:v>42</x:v>
      </x:c>
    </x:row>
    <x:row r="9">
      <x:c r="A9" t="s">
        <x:v>40</x:v>
      </x:c>
      <x:c r="B9" t="s">
        <x:v>43</x:v>
      </x:c>
      <x:c r="C9">
        <x:f>INDEX(Shipping!B2:F3,2,3)</x:f>
        <x:v>15.9</x:v>
      </x:c>
      <x:c r="D9" t="s">
        <x:v>44</x:v>
      </x:c>
    </x:row>
    <x:row r="10">
      <x:c r="A10" t="s">
        <x:v>45</x:v>
      </x:c>
      <x:c r="B10" t="s">
        <x:v>46</x:v>
      </x:c>
      <x:c r="C10" t="str">
        <x:f>CHOOSE(WEEKDAY(DATE(2026,10,14),2),"Mon","Tue","Wed","Thu","Fri","Sat","Sun")</x:f>
        <x:v>Wed</x:v>
      </x:c>
      <x:c r="D10" t="s">
        <x:v>47</x:v>
      </x:c>
    </x:row>
    <x:row r="11">
      <x:c r="A11" t="s">
        <x:v>45</x:v>
      </x:c>
      <x:c r="B11" t="s">
        <x:v>48</x:v>
      </x:c>
      <x:c r="C11" t="str">
        <x:f>CHOOSE(2,"Standard","Express","Pick-up")</x:f>
        <x:v>Express</x:v>
      </x:c>
      <x:c r="D11" t="s">
        <x:v>49</x:v>
      </x:c>
    </x:row>
    <x:row r="12">
      <x:c r="A12" t="s">
        <x:v>50</x:v>
      </x:c>
      <x:c r="B12" t="s">
        <x:v>51</x:v>
      </x:c>
      <x:c r="C12" t="str">
        <x:f>ADDRESS(MATCH("P-20",Prices!A2:A6,0)+1,4)</x:f>
        <x:v>$D$4</x:v>
      </x:c>
      <x:c r="D12" t="s">
        <x:v>52</x:v>
      </x:c>
    </x:row>
    <x:row r="13">
      <x:c r="A13" t="s">
        <x:v>50</x:v>
      </x:c>
      <x:c r="B13" t="s">
        <x:v>53</x:v>
      </x:c>
      <x:c r="C13" t="str">
        <x:f>ADDRESS(2,4,4)</x:f>
        <x:v>D2</x:v>
      </x:c>
      <x:c r="D13" t="s">
        <x:v>54</x:v>
      </x:c>
    </x:row>
  </x:sheetData>
</x:worksheet>
</file>