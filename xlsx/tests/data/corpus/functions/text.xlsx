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Id2"/>
    <x:sheet xmlns:r="http://schemas.openxmlformats.org/officeDocument/2006/relationships" name="Samples" sheetId="2" r:id="rId3"/>
  </x:sheets>
  <x:calcPr calcId="191029" fullCalcOnLoad="0"/>
</x:workbook>
</file>

<file path=xl/sharedStrings.xml><?xml version="1.0" encoding="utf-8"?>
<x:sst xmlns:x="http://schemas.openxmlformats.org/spreadsheetml/2006/main" count="101" uniqueCount="101">
  <x:si>
    <x:t>ID</x:t>
  </x:si>
  <x:si>
    <x:t>Name</x:t>
  </x:si>
  <x:si>
    <x:t>Email</x:t>
  </x:si>
  <x:si>
    <x:t>Phone</x:t>
  </x:si>
  <x:si>
    <x:t>City</x:t>
  </x:si>
  <x:si>
    <x:t>Postcode</x:t>
  </x:si>
  <x:si>
    <x:t>Code</x:t>
  </x:si>
  <x:si>
    <x:t>Since</x:t>
  </x:si>
  <x:si>
    <x:t>C-0042</x:t>
  </x:si>
  <x:si>
    <x:t xml:space="preserve">maria ESPOSITO </x:t>
  </x:si>
  <x:si>
    <x:t>maria.esposito@example.org</x:t>
  </x:si>
  <x:si>
    <x:t>+49 30 1234567</x:t>
  </x:si>
  <x:si>
    <x:t>berlin</x:t>
  </x:si>
  <x:si>
    <x:t>10115</x:t>
  </x:si>
  <x:si>
    <x:t>ESP-BER-42</x:t>
  </x:si>
  <x:si>
    <x:t>C-0043</x:t>
  </x:si>
  <x:si>
    <x:t>Tom O'Neill</x:t>
  </x:si>
  <x:si>
    <x:t>tom.oneill@example.com</x:t>
  </x:si>
  <x:si>
    <x:t>+44 20 7946 0958</x:t>
  </x:si>
  <x:si>
    <x:t>London</x:t>
  </x:si>
  <x:si>
    <x:t>SW1A 1AA</x:t>
  </x:si>
  <x:si>
    <x:t>ONE-LON-43</x:t>
  </x:si>
  <x:si>
    <x:t>C-0044</x:t>
  </x:si>
  <x:si>
    <x:t>Aiko Tanaka</x:t>
  </x:si>
  <x:si>
    <x:t>aiko@example.net</x:t>
  </x:si>
  <x:si>
    <x:t>+81 3 1234 5678</x:t>
  </x:si>
  <x:si>
    <x:t>Tokyo</x:t>
  </x:si>
  <x:si>
    <x:t>100-0001</x:t>
  </x:si>
  <x:si>
    <x:t>TAN-TOK-44</x:t>
  </x:si>
  <x:si>
    <x:t>C-0045</x:t>
  </x:si>
  <x:si>
    <x:t>Lars Eriksen</x:t>
  </x:si>
  <x:si>
    <x:t>lars.eriksen@example.org</x:t>
  </x:si>
  <x:si>
    <x:t>+45 33 12 34 56</x:t>
  </x:si>
  <x:si>
    <x:t>Copenhagen</x:t>
  </x:si>
  <x:si>
    <x:t>1050</x:t>
  </x:si>
  <x:si>
    <x:t>ERI-COP-45</x:t>
  </x:si>
  <x:si>
    <x:t>Function</x:t>
  </x:si>
  <x:si>
    <x:t>Formula</x:t>
  </x:si>
  <x:si>
    <x:t>Result</x:t>
  </x:si>
  <x:si>
    <x:t>What it shows</x:t>
  </x:si>
  <x:si>
    <x:t>TRIM</x:t>
  </x:si>
  <x:si>
    <x:t>=TRIM(Customers!B2)</x:t>
  </x:si>
  <x:si>
    <x:t>Maria's name without the stray spaces</x:t>
  </x:si>
  <x:si>
    <x:t>PROPER</x:t>
  </x:si>
  <x:si>
    <x:t>=PROPER(TRIM(Customers!B2))</x:t>
  </x:si>
  <x:si>
    <x:t>…and in the case a letter is addressed in</x:t>
  </x:si>
  <x:si>
    <x:t>=PROPER(Customers!E2)</x:t>
  </x:si>
  <x:si>
    <x:t>A city typed in lower case</x:t>
  </x:si>
  <x:si>
    <x:t>UPPER</x:t>
  </x:si>
  <x:si>
    <x:t>=UPPER(Customers!E3)</x:t>
  </x:si>
  <x:si>
    <x:t>A city for a shipping label</x:t>
  </x:si>
  <x:si>
    <x:t>LOWER</x:t>
  </x:si>
  <x:si>
    <x:t>=LOWER(Customers!G2)</x:t>
  </x:si>
  <x:si>
    <x:t>A customer code for a URL</x:t>
  </x:si>
  <x:si>
    <x:t>LEN</x:t>
  </x:si>
  <x:si>
    <x:t>=LEN(Customers!D3)</x:t>
  </x:si>
  <x:si>
    <x:t>Characters in Tom's phone number</x:t>
  </x:si>
  <x:si>
    <x:t>LEFT</x:t>
  </x:si>
  <x:si>
    <x:t>=LEFT(Customers!G3,3)</x:t>
  </x:si>
  <x:si>
    <x:t>The surname part of a customer code</x:t>
  </x:si>
  <x:si>
    <x:t>RIGHT</x:t>
  </x:si>
  <x:si>
    <x:t>=RIGHT(Customers!A4,4)</x:t>
  </x:si>
  <x:si>
    <x:t>The number part of an ID</x:t>
  </x:si>
  <x:si>
    <x:t>MID</x:t>
  </x:si>
  <x:si>
    <x:t>=MID(Customers!G4,5,3)</x:t>
  </x:si>
  <x:si>
    <x:t>The city part of a customer code</x:t>
  </x:si>
  <x:si>
    <x:t>FIND</x:t>
  </x:si>
  <x:si>
    <x:t>=FIND("@",Customers!C3)</x:t>
  </x:si>
  <x:si>
    <x:t>Where the domain of Tom's address begins</x:t>
  </x:si>
  <x:si>
    <x:t>=LEFT(Customers!C3,FIND("@",Customers!C3)-1)</x:t>
  </x:si>
  <x:si>
    <x:t>The user name in front of it</x:t>
  </x:si>
  <x:si>
    <x:t>SEARCH</x:t>
  </x:si>
  <x:si>
    <x:t>=SEARCH("example.org",Customers!C2)</x:t>
  </x:si>
  <x:si>
    <x:t>SEARCH finds text too</x:t>
  </x:si>
  <x:si>
    <x:t>=ISNUMBER(SEARCH("ORG",Customers!C5))</x:t>
  </x:si>
  <x:si>
    <x:t>…without minding case, which FIND would</x:t>
  </x:si>
  <x:si>
    <x:t>SUBSTITUTE</x:t>
  </x:si>
  <x:si>
    <x:t>=SUBSTITUTE(Customers!D3," ","")</x:t>
  </x:si>
  <x:si>
    <x:t>A phone number as one string of digits</x:t>
  </x:si>
  <x:si>
    <x:t>=SUBSTITUTE(Customers!G2,"-","/",2)</x:t>
  </x:si>
  <x:si>
    <x:t>Only the second dash replaced</x:t>
  </x:si>
  <x:si>
    <x:t>REPLACE</x:t>
  </x:si>
  <x:si>
    <x:t>=REPLACE(Customers!D2,1,3,"0")</x:t>
  </x:si>
  <x:si>
    <x:t>Maria's number in German national format</x:t>
  </x:si>
  <x:si>
    <x:t>REPT</x:t>
  </x:si>
  <x:si>
    <x:t>=REPT("*",LEN(Customers!D3)-4)&amp;RIGHT(Customers!D3,4)</x:t>
  </x:si>
  <x:si>
    <x:t>A phone number masked for a receipt</x:t>
  </x:si>
  <x:si>
    <x:t>CONCATENATE</x:t>
  </x:si>
  <x:si>
    <x:t>=CONCATENATE(PROPER(TRIM(Customers!B2))," &lt;",Customers!C2,"&gt;")</x:t>
  </x:si>
  <x:si>
    <x:t>An address line for an email</x:t>
  </x:si>
  <x:si>
    <x:t>EXACT</x:t>
  </x:si>
  <x:si>
    <x:t>=EXACT(Customers!E3,"london")</x:t>
  </x:si>
  <x:si>
    <x:t>EXACT minds case: London is not london</x:t>
  </x:si>
  <x:si>
    <x:t>T</x:t>
  </x:si>
  <x:si>
    <x:t>=T(Customers!F4)</x:t>
  </x:si>
  <x:si>
    <x:t>A postcode is text, so T keeps it</x:t>
  </x:si>
  <x:si>
    <x:t>=T(Customers!H2)</x:t>
  </x:si>
  <x:si>
    <x:t>A year is a number, so T gives nothing</x:t>
  </x:si>
  <x:si>
    <x:t>HYPERLINK</x:t>
  </x:si>
  <x:si>
    <x:t>=HYPERLINK("mailto:"&amp;Customers!C4,Customers!B4)</x:t>
  </x:si>
  <x:si>
    <x:t>A link that writes to Aiko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</x:si>
</x:sst>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hh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numFmtId="164" xfId="0" applyNumberFormat="1"/>
    <x:xf numFmtId="165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styles" Target="/xl/styles.xml" Id="rId4" /><Relationship Type="http://schemas.openxmlformats.org/officeDocument/2006/relationships/sharedStrings" Target="/xl/sharedStrings.xml" Id="rId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 t="s">
        <x:v>11</x:v>
      </x:c>
      <x:c r="E2" t="s">
        <x:v>12</x:v>
      </x:c>
      <x:c r="F2" t="s">
        <x:v>13</x:v>
      </x:c>
      <x:c r="G2" t="s">
        <x:v>14</x:v>
      </x:c>
      <x:c r="H2">
        <x:v>2019</x:v>
      </x:c>
    </x:row>
    <x:row r="3">
      <x:c r="A3" t="s">
        <x:v>15</x:v>
      </x:c>
      <x:c r="B3" t="s">
        <x:v>16</x:v>
      </x:c>
      <x:c r="C3" t="s">
        <x:v>17</x:v>
      </x:c>
      <x:c r="D3" t="s">
        <x:v>18</x:v>
      </x:c>
      <x:c r="E3" t="s">
        <x:v>19</x:v>
      </x:c>
      <x:c r="F3" t="s">
        <x:v>20</x:v>
      </x:c>
      <x:c r="G3" t="s">
        <x:v>21</x:v>
      </x:c>
      <x:c r="H3">
        <x:v>2021</x:v>
      </x:c>
    </x:row>
    <x:row r="4">
      <x:c r="A4" t="s">
        <x:v>22</x:v>
      </x:c>
      <x:c r="B4" t="s">
        <x:v>23</x:v>
      </x:c>
      <x:c r="C4" t="s">
        <x:v>24</x:v>
      </x:c>
      <x:c r="D4" t="s">
        <x:v>25</x:v>
      </x:c>
      <x:c r="E4" t="s">
        <x:v>26</x:v>
      </x:c>
      <x:c r="F4" t="s">
        <x:v>27</x:v>
      </x:c>
      <x:c r="G4" t="s">
        <x:v>28</x:v>
      </x:c>
      <x:c r="H4">
        <x:v>2023</x:v>
      </x:c>
    </x:row>
    <x:row r="5">
      <x:c r="A5" t="s">
        <x:v>29</x:v>
      </x:c>
      <x:c r="B5" t="s">
        <x:v>30</x:v>
      </x:c>
      <x:c r="C5" t="s">
        <x:v>31</x:v>
      </x:c>
      <x:c r="D5" t="s">
        <x:v>32</x:v>
      </x:c>
      <x:c r="E5" t="s">
        <x:v>33</x:v>
      </x:c>
      <x:c r="F5" t="s">
        <x:v>34</x:v>
      </x:c>
      <x:c r="G5" t="s">
        <x:v>35</x:v>
      </x:c>
      <x:c r="H5">
        <x:v>2018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36</x:v>
      </x:c>
      <x:c r="B1" t="s">
        <x:v>37</x:v>
      </x:c>
      <x:c r="C1" t="s">
        <x:v>38</x:v>
      </x:c>
      <x:c r="D1" t="s">
        <x:v>39</x:v>
      </x:c>
    </x:row>
    <x:row r="2">
      <x:c r="A2" t="s">
        <x:v>40</x:v>
      </x:c>
      <x:c r="B2" t="s">
        <x:v>41</x:v>
      </x:c>
      <x:c r="C2" t="str">
        <x:f>TRIM(Customers!B2)</x:f>
        <x:v>maria ESPOSITO</x:v>
      </x:c>
      <x:c r="D2" t="s">
        <x:v>42</x:v>
      </x:c>
    </x:row>
    <x:row r="3">
      <x:c r="A3" t="s">
        <x:v>43</x:v>
      </x:c>
      <x:c r="B3" t="s">
        <x:v>44</x:v>
      </x:c>
      <x:c r="C3" t="str">
        <x:f>PROPER(TRIM(Customers!B2))</x:f>
        <x:v>Maria Esposito</x:v>
      </x:c>
      <x:c r="D3" t="s">
        <x:v>45</x:v>
      </x:c>
    </x:row>
    <x:row r="4">
      <x:c r="A4" t="s">
        <x:v>43</x:v>
      </x:c>
      <x:c r="B4" t="s">
        <x:v>46</x:v>
      </x:c>
      <x:c r="C4" t="str">
        <x:f>PROPER(Customers!E2)</x:f>
        <x:v>Berlin</x:v>
      </x:c>
      <x:c r="D4" t="s">
        <x:v>47</x:v>
      </x:c>
    </x:row>
    <x:row r="5">
      <x:c r="A5" t="s">
        <x:v>48</x:v>
      </x:c>
      <x:c r="B5" t="s">
        <x:v>49</x:v>
      </x:c>
      <x:c r="C5" t="str">
        <x:f>UPPER(Customers!E3)</x:f>
        <x:v>LONDON</x:v>
      </x:c>
      <x:c r="D5" t="s">
        <x:v>50</x:v>
      </x:c>
    </x:row>
    <x:row r="6">
      <x:c r="A6" t="s">
        <x:v>51</x:v>
      </x:c>
      <x:c r="B6" t="s">
        <x:v>52</x:v>
      </x:c>
      <x:c r="C6" t="str">
        <x:f>LOWER(Customers!G2)</x:f>
        <x:v>esp-ber-42</x:v>
      </x:c>
      <x:c r="D6" t="s">
        <x:v>53</x:v>
      </x:c>
    </x:row>
    <x:row r="7">
      <x:c r="A7" t="s">
        <x:v>54</x:v>
      </x:c>
      <x:c r="B7" t="s">
        <x:v>55</x:v>
      </x:c>
      <x:c r="C7">
        <x:f>LEN(Customers!D3)</x:f>
        <x:v>16</x:v>
      </x:c>
      <x:c r="D7" t="s">
        <x:v>56</x:v>
      </x:c>
    </x:row>
    <x:row r="8">
      <x:c r="A8" t="s">
        <x:v>57</x:v>
      </x:c>
      <x:c r="B8" t="s">
        <x:v>58</x:v>
      </x:c>
      <x:c r="C8" t="str">
        <x:f>LEFT(Customers!G3,3)</x:f>
        <x:v>ONE</x:v>
      </x:c>
      <x:c r="D8" t="s">
        <x:v>59</x:v>
      </x:c>
    </x:row>
    <x:row r="9">
      <x:c r="A9" t="s">
        <x:v>60</x:v>
      </x:c>
      <x:c r="B9" t="s">
        <x:v>61</x:v>
      </x:c>
      <x:c r="C9" t="str">
        <x:f>RIGHT(Customers!A4,4)</x:f>
        <x:v>0044</x:v>
      </x:c>
      <x:c r="D9" t="s">
        <x:v>62</x:v>
      </x:c>
    </x:row>
    <x:row r="10">
      <x:c r="A10" t="s">
        <x:v>63</x:v>
      </x:c>
      <x:c r="B10" t="s">
        <x:v>64</x:v>
      </x:c>
      <x:c r="C10" t="str">
        <x:f>MID(Customers!G4,5,3)</x:f>
        <x:v>TOK</x:v>
      </x:c>
      <x:c r="D10" t="s">
        <x:v>65</x:v>
      </x:c>
    </x:row>
    <x:row r="11">
      <x:c r="A11" t="s">
        <x:v>66</x:v>
      </x:c>
      <x:c r="B11" t="s">
        <x:v>67</x:v>
      </x:c>
      <x:c r="C11">
        <x:f>FIND("@",Customers!C3)</x:f>
        <x:v>11</x:v>
      </x:c>
      <x:c r="D11" t="s">
        <x:v>68</x:v>
      </x:c>
    </x:row>
    <x:row r="12">
      <x:c r="A12" t="s">
        <x:v>66</x:v>
      </x:c>
      <x:c r="B12" t="s">
        <x:v>69</x:v>
      </x:c>
      <x:c r="C12" t="str">
        <x:f>LEFT(Customers!C3,FIND("@",Customers!C3)-1)</x:f>
        <x:v>tom.oneill</x:v>
      </x:c>
      <x:c r="D12" t="s">
        <x:v>70</x:v>
      </x:c>
    </x:row>
    <x:row r="13">
      <x:c r="A13" t="s">
        <x:v>71</x:v>
      </x:c>
      <x:c r="B13" t="s">
        <x:v>72</x:v>
      </x:c>
      <x:c r="C13">
        <x:f>SEARCH("example.org",Customers!C2)</x:f>
        <x:v>16</x:v>
      </x:c>
      <x:c r="D13" t="s">
        <x:v>73</x:v>
      </x:c>
    </x:row>
    <x:row r="14">
      <x:c r="A14" t="s">
        <x:v>71</x:v>
      </x:c>
      <x:c r="B14" t="s">
        <x:v>74</x:v>
      </x:c>
      <x:c r="C14" t="b">
        <x:f>ISNUMBER(SEARCH("ORG",Customers!C5))</x:f>
        <x:v>1</x:v>
      </x:c>
      <x:c r="D14" t="s">
        <x:v>75</x:v>
      </x:c>
    </x:row>
    <x:row r="15">
      <x:c r="A15" t="s">
        <x:v>76</x:v>
      </x:c>
      <x:c r="B15" t="s">
        <x:v>77</x:v>
      </x:c>
      <x:c r="C15" t="str">
        <x:f>SUBSTITUTE(Customers!D3," ","")</x:f>
        <x:v>+442079460958</x:v>
      </x:c>
      <x:c r="D15" t="s">
        <x:v>78</x:v>
      </x:c>
    </x:row>
    <x:row r="16">
      <x:c r="A16" t="s">
        <x:v>76</x:v>
      </x:c>
      <x:c r="B16" t="s">
        <x:v>79</x:v>
      </x:c>
      <x:c r="C16" t="str">
        <x:f>SUBSTITUTE(Customers!G2,"-","/",2)</x:f>
        <x:v>ESP-BER/42</x:v>
      </x:c>
      <x:c r="D16" t="s">
        <x:v>80</x:v>
      </x:c>
    </x:row>
    <x:row r="17">
      <x:c r="A17" t="s">
        <x:v>81</x:v>
      </x:c>
      <x:c r="B17" t="s">
        <x:v>82</x:v>
      </x:c>
      <x:c r="C17" t="str">
        <x:f>REPLACE(Customers!D2,1,3,"0")</x:f>
        <x:v>0 30 1234567</x:v>
      </x:c>
      <x:c r="D17" t="s">
        <x:v>83</x:v>
      </x:c>
    </x:row>
    <x:row r="18">
      <x:c r="A18" t="s">
        <x:v>84</x:v>
      </x:c>
      <x:c r="B18" t="s">
        <x:v>85</x:v>
      </x:c>
      <x:c r="C18" t="str">
        <x:f>REPT("*",LEN(Customers!D3)-4)&amp;RIGHT(Customers!D3,4)</x:f>
        <x:v>************0958</x:v>
      </x:c>
      <x:c r="D18" t="s">
        <x:v>86</x:v>
      </x:c>
    </x:row>
    <x:row r="19">
      <x:c r="A19" t="s">
        <x:v>87</x:v>
      </x:c>
      <x:c r="B19" t="s">
        <x:v>88</x:v>
      </x:c>
      <x:c r="C19" t="str">
        <x:f>CONCATENATE(PROPER(TRIM(Customers!B2))," &lt;",Customers!C2,"&gt;")</x:f>
        <x:v>Maria Esposito &lt;maria.esposito@example.org&gt;</x:v>
      </x:c>
      <x:c r="D19" t="s">
        <x:v>89</x:v>
      </x:c>
    </x:row>
    <x:row r="20">
      <x:c r="A20" t="s">
        <x:v>90</x:v>
      </x:c>
      <x:c r="B20" t="s">
        <x:v>91</x:v>
      </x:c>
      <x:c r="C20" t="b">
        <x:f>EXACT(Customers!E3,"london")</x:f>
        <x:v>0</x:v>
      </x:c>
      <x:c r="D20" t="s">
        <x:v>92</x:v>
      </x:c>
    </x:row>
    <x:row r="21">
      <x:c r="A21" t="s">
        <x:v>93</x:v>
      </x:c>
      <x:c r="B21" t="s">
        <x:v>94</x:v>
      </x:c>
      <x:c r="C21" t="str">
        <x:f>T(Customers!F4)</x:f>
        <x:v>100-0001</x:v>
      </x:c>
      <x:c r="D21" t="s">
        <x:v>95</x:v>
      </x:c>
    </x:row>
    <x:row r="22">
      <x:c r="A22" t="s">
        <x:v>93</x:v>
      </x:c>
      <x:c r="B22" t="s">
        <x:v>96</x:v>
      </x:c>
      <x:c r="C22" t="str">
        <x:f>T(Customers!H2)</x:f>
        <x:v/>
      </x:c>
      <x:c r="D22" t="s">
        <x:v>97</x:v>
      </x:c>
    </x:row>
    <x:row r="23">
      <x:c r="A23" t="s">
        <x:v>98</x:v>
      </x:c>
      <x:c r="B23" t="s">
        <x:v>99</x:v>
      </x:c>
      <x:c r="C23" t="str">
        <x:f>HYPERLINK("mailto:"&amp;Customers!C4,Customers!B4)</x:f>
        <x:v>Aiko Tanaka</x:v>
      </x:c>
      <x:c r="D23" t="s">
        <x:v>100</x:v>
      </x:c>
    </x:row>
  </x:sheetData>
</x:worksheet>
</file>